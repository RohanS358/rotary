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1vhx1-my.sharepoint.com/personal/manoj_1vhx1_onmicrosoft_com/Documents/"/>
    </mc:Choice>
  </mc:AlternateContent>
  <xr:revisionPtr revIDLastSave="149" documentId="8_{349CE6C4-7EB0-42DE-926F-65F3FA4208C3}" xr6:coauthVersionLast="47" xr6:coauthVersionMax="47" xr10:uidLastSave="{57A20E66-B384-4CB4-87AC-A7F655B3979E}"/>
  <bookViews>
    <workbookView xWindow="-120" yWindow="-120" windowWidth="20730" windowHeight="11160" firstSheet="5" activeTab="5" xr2:uid="{58471499-0DF0-DC43-878B-5C007847FCDD}"/>
  </bookViews>
  <sheets>
    <sheet name="Dashboard" sheetId="3" r:id="rId1"/>
    <sheet name="Members in a Club Detail" sheetId="2" r:id="rId2"/>
    <sheet name="Membership dues" sheetId="4" r:id="rId3"/>
    <sheet name="Sheet1" sheetId="12" r:id="rId4"/>
    <sheet name="Attendance-weekly (2)" sheetId="14" r:id="rId5"/>
    <sheet name="Attendance-weekly" sheetId="11" r:id="rId6"/>
    <sheet name="Expense" sheetId="13" r:id="rId7"/>
    <sheet name="Souvenier advertisement" sheetId="5" r:id="rId8"/>
    <sheet name="TRF" sheetId="6" r:id="rId9"/>
    <sheet name="Smile a wile" sheetId="10" r:id="rId10"/>
    <sheet name="Service projects" sheetId="7" r:id="rId11"/>
    <sheet name="Administrative cost" sheetId="9" r:id="rId12"/>
    <sheet name="Miscelleneous" sheetId="8" r:id="rId13"/>
  </sheets>
  <definedNames>
    <definedName name="_xlnm.Print_Area" localSheetId="5">'Attendance-weekly'!$A$2:$E$50</definedName>
    <definedName name="_xlnm.Print_Area" localSheetId="4">'Attendance-weekly (2)'!$A$2:$E$50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14" l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65" i="14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C6" i="14"/>
  <c r="C23" i="13"/>
  <c r="D63" i="4"/>
  <c r="C12" i="13"/>
  <c r="A66" i="1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65" i="11"/>
  <c r="A81" i="1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C63" i="4"/>
  <c r="E63" i="4"/>
  <c r="B11" i="3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A7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C23" i="7"/>
  <c r="C36" i="7"/>
  <c r="B6" i="3"/>
  <c r="B23" i="7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B10" i="3" s="1"/>
  <c r="J22" i="3"/>
  <c r="H20" i="3"/>
  <c r="D51" i="6"/>
  <c r="D51" i="10"/>
  <c r="B8" i="3"/>
  <c r="B3" i="10"/>
  <c r="B51" i="6"/>
  <c r="B7" i="3"/>
  <c r="D39" i="5"/>
  <c r="E39" i="5"/>
  <c r="B5" i="3"/>
  <c r="B4" i="3"/>
</calcChain>
</file>

<file path=xl/sharedStrings.xml><?xml version="1.0" encoding="utf-8"?>
<sst xmlns="http://schemas.openxmlformats.org/spreadsheetml/2006/main" count="828" uniqueCount="406">
  <si>
    <t>Income Expense</t>
  </si>
  <si>
    <t>Income</t>
  </si>
  <si>
    <t>Expense</t>
  </si>
  <si>
    <t>Different Foundation of club Members</t>
  </si>
  <si>
    <t>Particular</t>
  </si>
  <si>
    <t>Amount</t>
  </si>
  <si>
    <t>Remarks</t>
  </si>
  <si>
    <t>Date</t>
  </si>
  <si>
    <t>Foundation</t>
  </si>
  <si>
    <t>Balance</t>
  </si>
  <si>
    <t>Bank/Finance</t>
  </si>
  <si>
    <t>Annual Interest</t>
  </si>
  <si>
    <t>Utilization</t>
  </si>
  <si>
    <t>Membership</t>
  </si>
  <si>
    <t>RI Dues</t>
  </si>
  <si>
    <t>Late Khadgajeet Baral Rotary Food Bank</t>
  </si>
  <si>
    <t>Shree</t>
  </si>
  <si>
    <t>Souvenier</t>
  </si>
  <si>
    <t>District Dues</t>
  </si>
  <si>
    <t>Late Anangam Raj Timalsina Foundation</t>
  </si>
  <si>
    <t>Service Project</t>
  </si>
  <si>
    <t>TRF</t>
  </si>
  <si>
    <t>Chuman Jung Shahi Rotary Foundation</t>
  </si>
  <si>
    <t>Rotarct Law Campus</t>
  </si>
  <si>
    <t>Late Fulchand Kejriwal &amp; Late Gitadevi Memorial Foudation</t>
  </si>
  <si>
    <t>Smile a while</t>
  </si>
  <si>
    <t>Rotaract Pashupati</t>
  </si>
  <si>
    <t>Installation</t>
  </si>
  <si>
    <t>Late Kul Pradip Subedi and Late Bhima Devi Subedi Rotary Cancer Care Foundation</t>
  </si>
  <si>
    <t>due</t>
  </si>
  <si>
    <t>Members Contribution</t>
  </si>
  <si>
    <t>Service project</t>
  </si>
  <si>
    <t>Interest</t>
  </si>
  <si>
    <t>Years</t>
  </si>
  <si>
    <t>Kept at shree investment for 6yrs with 11% interest rate</t>
  </si>
  <si>
    <t>starting from PP Rtn, Surya Bdr Adhikari tenure</t>
  </si>
  <si>
    <t>Member ID</t>
  </si>
  <si>
    <t>Full Name</t>
  </si>
  <si>
    <t>Gender</t>
  </si>
  <si>
    <t>Age Bracket</t>
  </si>
  <si>
    <t>Club Admit Date</t>
  </si>
  <si>
    <t>Online Account with My Rotary</t>
  </si>
  <si>
    <t>Email Address</t>
  </si>
  <si>
    <t>Phone</t>
  </si>
  <si>
    <t>Nisha Acharya</t>
  </si>
  <si>
    <t>Not Given</t>
  </si>
  <si>
    <t>40 - 49</t>
  </si>
  <si>
    <t>Not Registered</t>
  </si>
  <si>
    <t>trackoncouriers15@gmail.com</t>
  </si>
  <si>
    <t>Raj Kumar Acharya</t>
  </si>
  <si>
    <t>Male</t>
  </si>
  <si>
    <t>Registered</t>
  </si>
  <si>
    <t>rajkumaracharya11111@gmail.com</t>
  </si>
  <si>
    <t>9851131750</t>
  </si>
  <si>
    <t>Shalik Ram Adhikari</t>
  </si>
  <si>
    <t>50 - 59</t>
  </si>
  <si>
    <t>shalik.adhikari2018@gmail.com</t>
  </si>
  <si>
    <t>9851069257</t>
  </si>
  <si>
    <t>Surya Bahadur Adhikari</t>
  </si>
  <si>
    <t>surya59219@gmail.com</t>
  </si>
  <si>
    <t>9851059219</t>
  </si>
  <si>
    <t>Kim J. Baaden</t>
  </si>
  <si>
    <t>Unreported</t>
  </si>
  <si>
    <t>rotarykim@gmail.com</t>
  </si>
  <si>
    <t xml:space="preserve">985-1087234 </t>
  </si>
  <si>
    <t>Dipendra Banskota</t>
  </si>
  <si>
    <t>30 - 39</t>
  </si>
  <si>
    <t>sampanna.capital@gmail.com</t>
  </si>
  <si>
    <t>9851197327</t>
  </si>
  <si>
    <t>Dr. Sangeeta Baral Basnet</t>
  </si>
  <si>
    <t>Female</t>
  </si>
  <si>
    <t>sangsbbasnet812@gmail.com</t>
  </si>
  <si>
    <t>9851122090</t>
  </si>
  <si>
    <t>suman Basnet</t>
  </si>
  <si>
    <t>basnetsuman847@gmail.com</t>
  </si>
  <si>
    <t>9851131506</t>
  </si>
  <si>
    <t>Hari Bhakta Budathoki</t>
  </si>
  <si>
    <t>haribhakta@wlink.com.np</t>
  </si>
  <si>
    <t>01-4443017</t>
  </si>
  <si>
    <t>Mina Budhathoki</t>
  </si>
  <si>
    <t>Jas Maya Chemjong</t>
  </si>
  <si>
    <t>rtnjessica27@gmail.com</t>
  </si>
  <si>
    <t>4275993</t>
  </si>
  <si>
    <t>Dr. Pravesh Dahal</t>
  </si>
  <si>
    <t>dhl.pravesh@yahoo.com</t>
  </si>
  <si>
    <t>9812113206</t>
  </si>
  <si>
    <t>Dr. Binod Dangal</t>
  </si>
  <si>
    <t>binod.dangal999@gmail.com</t>
  </si>
  <si>
    <t>9841715973</t>
  </si>
  <si>
    <t>Mr Gopal Prasad Dangal</t>
  </si>
  <si>
    <t>dangalgopal1974@gmail.com</t>
  </si>
  <si>
    <t>Mr Bhupendra Kumar Ghimire</t>
  </si>
  <si>
    <t>vinnepal@gmail.com</t>
  </si>
  <si>
    <t>9851070477</t>
  </si>
  <si>
    <t>Bindu Prakash Joshi</t>
  </si>
  <si>
    <t>60 - 69</t>
  </si>
  <si>
    <t>bindujoshi163@gmail.com</t>
  </si>
  <si>
    <t>9851098796</t>
  </si>
  <si>
    <t>Dr Archana K C</t>
  </si>
  <si>
    <t>kcarchana0511@gmail.com</t>
  </si>
  <si>
    <t>9841544615</t>
  </si>
  <si>
    <t>Er. Milan Kumar K C</t>
  </si>
  <si>
    <t>rtn.milan@gmail.com</t>
  </si>
  <si>
    <t>9841634579</t>
  </si>
  <si>
    <t>Bandana Khanal</t>
  </si>
  <si>
    <t>bandana.khanal12@gmail.com</t>
  </si>
  <si>
    <t>Giri Raj Khatri</t>
  </si>
  <si>
    <t>giri.envfrnd@gmail.com</t>
  </si>
  <si>
    <t>Mr Bhuvan Singh Kunwar</t>
  </si>
  <si>
    <t>4process2@gmail.com</t>
  </si>
  <si>
    <t>9851157230</t>
  </si>
  <si>
    <t>Mrs Sajal Maskey</t>
  </si>
  <si>
    <t>Sajal.maskey@gmail.com</t>
  </si>
  <si>
    <t>9841509412</t>
  </si>
  <si>
    <t>Deepa Neupane</t>
  </si>
  <si>
    <t>Kedar Prasad Neupane</t>
  </si>
  <si>
    <t>Rajesh Neupane</t>
  </si>
  <si>
    <t>70 and over</t>
  </si>
  <si>
    <t>rajeshneupane516@gmail.com</t>
  </si>
  <si>
    <t>9851115433</t>
  </si>
  <si>
    <t>Mr. Yogendra Ojha</t>
  </si>
  <si>
    <t>ysojha@yahoo.com</t>
  </si>
  <si>
    <t>Sashi Raj Pandey</t>
  </si>
  <si>
    <t>sashipandey@gmail.com</t>
  </si>
  <si>
    <t>9851104403</t>
  </si>
  <si>
    <t>Urmila Pandey</t>
  </si>
  <si>
    <t>urupandey@gmail.com</t>
  </si>
  <si>
    <t>9851107118</t>
  </si>
  <si>
    <t>Ramu Pandeya</t>
  </si>
  <si>
    <t>ramupandeya2000@gmail.com</t>
  </si>
  <si>
    <t>9851070954</t>
  </si>
  <si>
    <t>Khem Raj Panta</t>
  </si>
  <si>
    <t>khempanta@hotmail.com</t>
  </si>
  <si>
    <t>9851021876</t>
  </si>
  <si>
    <t>Mr Manoj Paudel</t>
  </si>
  <si>
    <t>rtnmanoj27@gmail.com</t>
  </si>
  <si>
    <t>Mr. Moti Ram Phuyal</t>
  </si>
  <si>
    <t>Gopal Prasad Pokhrel</t>
  </si>
  <si>
    <t>Pokhrelg19@gmail.com</t>
  </si>
  <si>
    <t>14821518</t>
  </si>
  <si>
    <t>Mr Purna Bahadur Rai</t>
  </si>
  <si>
    <t>md@rajoverseas.com</t>
  </si>
  <si>
    <t>9851020787</t>
  </si>
  <si>
    <t>Mrs Mamta Raj Singh</t>
  </si>
  <si>
    <t>mamataforus@gmail.com</t>
  </si>
  <si>
    <t>9841278126</t>
  </si>
  <si>
    <t>Bhubaneshwori Rao</t>
  </si>
  <si>
    <t>bhuvna12@hotmail.com</t>
  </si>
  <si>
    <t>9851105564</t>
  </si>
  <si>
    <t>Min Bahadur Raut</t>
  </si>
  <si>
    <t>minraut@ntc.net.up</t>
  </si>
  <si>
    <t>Shristi Raut</t>
  </si>
  <si>
    <t>29 and under</t>
  </si>
  <si>
    <t>rautsristy22@gmail.com</t>
  </si>
  <si>
    <t>9843987930</t>
  </si>
  <si>
    <t>Devendra Rijal</t>
  </si>
  <si>
    <t>devprijal@wlink.com.np</t>
  </si>
  <si>
    <t>4466999/4470960</t>
  </si>
  <si>
    <t>Rajendra Rijal</t>
  </si>
  <si>
    <t>rijalrajendra@hotmail.com</t>
  </si>
  <si>
    <t>9851098929</t>
  </si>
  <si>
    <t>Suswopna Rimal</t>
  </si>
  <si>
    <t>suswopna.rimal@gmail.com</t>
  </si>
  <si>
    <t>9802309325</t>
  </si>
  <si>
    <t>Mr Prakash Sapkota</t>
  </si>
  <si>
    <t>sapkotaprakash@gmail.com</t>
  </si>
  <si>
    <t>9841427922</t>
  </si>
  <si>
    <t>Mr Hark Bahadur Saud</t>
  </si>
  <si>
    <t>hbsagar14@gmail.com</t>
  </si>
  <si>
    <t>9849775804</t>
  </si>
  <si>
    <t>Chuman Jung Shahi</t>
  </si>
  <si>
    <t>shahichumbanjung@gmail.com</t>
  </si>
  <si>
    <t>97714439229</t>
  </si>
  <si>
    <t>Devi Ram Sharma</t>
  </si>
  <si>
    <t>devisharma744@gmail.com</t>
  </si>
  <si>
    <t>9851085360</t>
  </si>
  <si>
    <t>Himalaya Dev Sigdel</t>
  </si>
  <si>
    <t>himalaya.sigdel@yahoo.com</t>
  </si>
  <si>
    <t>9846024430</t>
  </si>
  <si>
    <t>Durga Prasad Subedi</t>
  </si>
  <si>
    <t>durgadevs@gmail.com</t>
  </si>
  <si>
    <t>9851011720</t>
  </si>
  <si>
    <t>Mr. Ganesh Subedi</t>
  </si>
  <si>
    <t>deltaimporters12@gmail.com</t>
  </si>
  <si>
    <t>0977-9851041575</t>
  </si>
  <si>
    <t>Ganesh Bahadur Thapa</t>
  </si>
  <si>
    <t>Mr. Tej Prasad Timsina</t>
  </si>
  <si>
    <t>tej111timsina@gmail.com</t>
  </si>
  <si>
    <t>Membership Dues Payment RY 2025/26</t>
  </si>
  <si>
    <t>SN</t>
  </si>
  <si>
    <t>Dues</t>
  </si>
  <si>
    <t>TRF(25$)</t>
  </si>
  <si>
    <t>Installation Charge</t>
  </si>
  <si>
    <t>QR</t>
  </si>
  <si>
    <t>FP Prime</t>
  </si>
  <si>
    <t>29 June,25</t>
  </si>
  <si>
    <t>chq</t>
  </si>
  <si>
    <t xml:space="preserve">FP prime </t>
  </si>
  <si>
    <t>8th july</t>
  </si>
  <si>
    <t>Cash/Deposit Prime</t>
  </si>
  <si>
    <t>2nd July</t>
  </si>
  <si>
    <t>FP prime</t>
  </si>
  <si>
    <t>8th July</t>
  </si>
  <si>
    <t>Ashish Poudyal</t>
  </si>
  <si>
    <t>Sapan Kumar Dev</t>
  </si>
  <si>
    <t>Binod Karki</t>
  </si>
  <si>
    <t>Bharat Karki</t>
  </si>
  <si>
    <t>Total</t>
  </si>
  <si>
    <t>Installation due pending</t>
  </si>
  <si>
    <t>28th Installation Ceremony, Rotary Club of Pashupati</t>
  </si>
  <si>
    <t>Guest from Distrct and Rotary Club</t>
  </si>
  <si>
    <t>Name</t>
  </si>
  <si>
    <t>Designation</t>
  </si>
  <si>
    <t>Contact no</t>
  </si>
  <si>
    <t>Home club/District</t>
  </si>
  <si>
    <t>Signature</t>
  </si>
  <si>
    <t>Guest from Rotaract Club</t>
  </si>
  <si>
    <t>Rotary Club of Pashupati Kathmandu</t>
  </si>
  <si>
    <t>Board Meeting Attendance</t>
  </si>
  <si>
    <t>Meeting No:</t>
  </si>
  <si>
    <t>Date:</t>
  </si>
  <si>
    <t>Time:</t>
  </si>
  <si>
    <t>Venue:</t>
  </si>
  <si>
    <t>Member</t>
  </si>
  <si>
    <t>Ganesh Subedi</t>
  </si>
  <si>
    <t>President</t>
  </si>
  <si>
    <t>Milan Kumar KC</t>
  </si>
  <si>
    <t>Immediate Past President</t>
  </si>
  <si>
    <t>President Elect</t>
  </si>
  <si>
    <t>Dipendra Baskota</t>
  </si>
  <si>
    <t>President Nominee</t>
  </si>
  <si>
    <t>Tej Prasad Timalsina</t>
  </si>
  <si>
    <t>Vice President</t>
  </si>
  <si>
    <t>Dr Pravesh Dahal</t>
  </si>
  <si>
    <t>Manoj Paudel</t>
  </si>
  <si>
    <t>Secretary</t>
  </si>
  <si>
    <t>Treasurer</t>
  </si>
  <si>
    <t>Chumban Jung Shahi</t>
  </si>
  <si>
    <t>PP/Sergent At Arms</t>
  </si>
  <si>
    <t>Club Admin Chair</t>
  </si>
  <si>
    <t>Hark Saud</t>
  </si>
  <si>
    <t>PP/Service Project Chair</t>
  </si>
  <si>
    <t>PP/The Rotary Foundation Chair</t>
  </si>
  <si>
    <t>Dr Motiram Phuyal</t>
  </si>
  <si>
    <t>Membership Chair</t>
  </si>
  <si>
    <t>Mamata Raj Singh</t>
  </si>
  <si>
    <t>Public Image Chair</t>
  </si>
  <si>
    <t>Youth Leader Connect</t>
  </si>
  <si>
    <t>PP/Club Advisor</t>
  </si>
  <si>
    <t>Haribhakta Budhathoki</t>
  </si>
  <si>
    <t>PP/Club Mentor</t>
  </si>
  <si>
    <t>Himalaya Sigdel</t>
  </si>
  <si>
    <t>Club Learning Facilitator</t>
  </si>
  <si>
    <t>PP/Club Learning Facilitator</t>
  </si>
  <si>
    <t>Prakash Sapkota</t>
  </si>
  <si>
    <t>Membership Co Chair</t>
  </si>
  <si>
    <t>Dr Archana KC</t>
  </si>
  <si>
    <t>Service Project Co Chair</t>
  </si>
  <si>
    <t>Rtn.Gopal Pokharel</t>
  </si>
  <si>
    <t>Past President/AG</t>
  </si>
  <si>
    <t>Guest Member from Rotary Club/Other Organization</t>
  </si>
  <si>
    <t>Rotary club/Org/Designation</t>
  </si>
  <si>
    <t>Rotaract/Interact</t>
  </si>
  <si>
    <t>Club/Designation</t>
  </si>
  <si>
    <t>Weekly Meeting Attendance</t>
  </si>
  <si>
    <t>Expense details</t>
  </si>
  <si>
    <t>payment</t>
  </si>
  <si>
    <t>remarks</t>
  </si>
  <si>
    <t>Received</t>
  </si>
  <si>
    <t>Food donation</t>
  </si>
  <si>
    <t>Manoj</t>
  </si>
  <si>
    <t>Chq 144010</t>
  </si>
  <si>
    <t>Thanka</t>
  </si>
  <si>
    <t>Surgical item</t>
  </si>
  <si>
    <t>Chq</t>
  </si>
  <si>
    <t>Installation various-rohan expense</t>
  </si>
  <si>
    <t>Liquor installation</t>
  </si>
  <si>
    <t>Mental hospital banner</t>
  </si>
  <si>
    <t>Mental hospital Inaugural cloth</t>
  </si>
  <si>
    <t>Birthday cake</t>
  </si>
  <si>
    <t>Chq 76290</t>
  </si>
  <si>
    <t>Mental hospital metal plate</t>
  </si>
  <si>
    <t>Samman patra metal IPP</t>
  </si>
  <si>
    <t>Tree plantation kageshwari</t>
  </si>
  <si>
    <t>Tree Plantation Banner</t>
  </si>
  <si>
    <t>Mohar ticket print</t>
  </si>
  <si>
    <t>Food donation vehicle</t>
  </si>
  <si>
    <t>Harka dai</t>
  </si>
  <si>
    <t>Token of love-2</t>
  </si>
  <si>
    <t>Receipt print</t>
  </si>
  <si>
    <t>Water filter project</t>
  </si>
  <si>
    <t>Vendor</t>
  </si>
  <si>
    <t>chq 275000</t>
  </si>
  <si>
    <t>Photographer Installation</t>
  </si>
  <si>
    <t>chq 18000</t>
  </si>
  <si>
    <t>Souvenier Advertisement</t>
  </si>
  <si>
    <t>Company</t>
  </si>
  <si>
    <t>Focal person</t>
  </si>
  <si>
    <t>Payment</t>
  </si>
  <si>
    <t>Marron Group</t>
  </si>
  <si>
    <t>Rtn. Ganesh</t>
  </si>
  <si>
    <t>India</t>
  </si>
  <si>
    <t>Sanima Bank</t>
  </si>
  <si>
    <t>Apex World wide express</t>
  </si>
  <si>
    <t>Rtn. Durga</t>
  </si>
  <si>
    <t>Mohar</t>
  </si>
  <si>
    <t>Rtn Chumanjung</t>
  </si>
  <si>
    <t>St josep School</t>
  </si>
  <si>
    <t>Rtn Surya</t>
  </si>
  <si>
    <t>Enfrontwheel</t>
  </si>
  <si>
    <t>Rtn Himalaya</t>
  </si>
  <si>
    <t>Haribhakta sir</t>
  </si>
  <si>
    <t>Rtn Haribhakta</t>
  </si>
  <si>
    <t>Rajesh Neupane sir</t>
  </si>
  <si>
    <t>Rtn Rajesh</t>
  </si>
  <si>
    <t>New Arunodaya School</t>
  </si>
  <si>
    <t>Rtn Jessica</t>
  </si>
  <si>
    <t>DAV School</t>
  </si>
  <si>
    <t>Rtn Bhubanesowri</t>
  </si>
  <si>
    <t>Sushma Koirala</t>
  </si>
  <si>
    <t>Rtn Mamta</t>
  </si>
  <si>
    <t>Shree Investment</t>
  </si>
  <si>
    <t>Rtn Sashi</t>
  </si>
  <si>
    <t>Prime Ac</t>
  </si>
  <si>
    <t>Hotel Soaltee</t>
  </si>
  <si>
    <t>Leapfrog</t>
  </si>
  <si>
    <t>Hotel Crown Imperial</t>
  </si>
  <si>
    <t>Rtn Sajal</t>
  </si>
  <si>
    <t>Asian Life Insurance</t>
  </si>
  <si>
    <t>Oxford Securities</t>
  </si>
  <si>
    <t>Rtn Ganesh</t>
  </si>
  <si>
    <t>Kumari Securities</t>
  </si>
  <si>
    <t>Rtn Shalik</t>
  </si>
  <si>
    <t>Best Wishes</t>
  </si>
  <si>
    <t>Rtn Motiram</t>
  </si>
  <si>
    <t>Rtn Tej</t>
  </si>
  <si>
    <t>DIamond crushing</t>
  </si>
  <si>
    <t>Natioanl Insurance</t>
  </si>
  <si>
    <t>Best wishes Gahatraj</t>
  </si>
  <si>
    <t>Best wishes BIplav</t>
  </si>
  <si>
    <t>Refill Progain</t>
  </si>
  <si>
    <t>Rtn Manoj</t>
  </si>
  <si>
    <t xml:space="preserve">Trackon </t>
  </si>
  <si>
    <t>Rtn Nisha</t>
  </si>
  <si>
    <t>Best wishes Rtn Prakash</t>
  </si>
  <si>
    <t>RTn prakash</t>
  </si>
  <si>
    <t>TRF Contribution RY 2025/26</t>
  </si>
  <si>
    <t>Amount $</t>
  </si>
  <si>
    <t>For</t>
  </si>
  <si>
    <t>Commitment</t>
  </si>
  <si>
    <t>Rtn. Sashi Raj Pandey</t>
  </si>
  <si>
    <t>Polio Plus</t>
  </si>
  <si>
    <t>Rtn. Haribhakta Budhathoki</t>
  </si>
  <si>
    <t>Polioplus/Annual Fund</t>
  </si>
  <si>
    <t>Cash/deposit prime</t>
  </si>
  <si>
    <t>Rtn Rajesh Neupane</t>
  </si>
  <si>
    <t>Rtn Deepa Neupane</t>
  </si>
  <si>
    <t>Rtn Kedar Neupane</t>
  </si>
  <si>
    <t>Rtn Shristi Raut</t>
  </si>
  <si>
    <t>Annual Fund</t>
  </si>
  <si>
    <t>Rtn Chumanjung Shahi</t>
  </si>
  <si>
    <t>Rtn Mina Budhathoki</t>
  </si>
  <si>
    <t>Rtn Durga Subedi</t>
  </si>
  <si>
    <t>MD2</t>
  </si>
  <si>
    <t>Rtn Ganesh Subedi</t>
  </si>
  <si>
    <t>PHS</t>
  </si>
  <si>
    <t>Rtn Dr Archana Kc</t>
  </si>
  <si>
    <t>Annual fund</t>
  </si>
  <si>
    <t xml:space="preserve">8th July </t>
  </si>
  <si>
    <t xml:space="preserve">Rtn Motiram Phuyal </t>
  </si>
  <si>
    <t>Rtn Surya Bahadur Adhikari</t>
  </si>
  <si>
    <t>Rtn Himalaya Dev Sigdel</t>
  </si>
  <si>
    <t>18th July</t>
  </si>
  <si>
    <t>Rtn Shalik Ram ahikari</t>
  </si>
  <si>
    <t>Smile a wile</t>
  </si>
  <si>
    <t>Cash</t>
  </si>
  <si>
    <t>2nd July 2025</t>
  </si>
  <si>
    <t>Water treatment plant( Mental Hospital Patan)</t>
  </si>
  <si>
    <t>Rtn Rajesh/Rtn Deepa/Rtn Kedar</t>
  </si>
  <si>
    <t>Rtn Chuman Jung Shahi</t>
  </si>
  <si>
    <t>Rtn Hari Bhakta Budhathoki/Rtn Mina</t>
  </si>
  <si>
    <t>Rtn Sashi/Urmila/Suswopna</t>
  </si>
  <si>
    <t>Rtn Jessica Chemjong</t>
  </si>
  <si>
    <t>Rtn MIlan Kumar Kc</t>
  </si>
  <si>
    <t>Rtn Bindu Prakash Joshi</t>
  </si>
  <si>
    <t>Rtn Archana Kc</t>
  </si>
  <si>
    <t>Rtn Manoj Paudel</t>
  </si>
  <si>
    <t>Rtn Mamata Raj Singh</t>
  </si>
  <si>
    <t>Rtn Dipendra Banskota</t>
  </si>
  <si>
    <t>Rtn Prakash Sapkota</t>
  </si>
  <si>
    <t>Rtn Pravesh Dahal</t>
  </si>
  <si>
    <t>Rtn Nisha Acharya</t>
  </si>
  <si>
    <t>Rtn Motiram Phuyal</t>
  </si>
  <si>
    <t>Rtn Ramu Pandeya</t>
  </si>
  <si>
    <t>Rtn Tej Prasad Timalsina</t>
  </si>
  <si>
    <t>KJ Baral Rotary Food Bank</t>
  </si>
  <si>
    <t>Rtn Sashi Raj Pandey</t>
  </si>
  <si>
    <t>Administrative Expenses</t>
  </si>
  <si>
    <t>Tshirt</t>
  </si>
  <si>
    <t>Diary &amp; Pen</t>
  </si>
  <si>
    <t>Miscelleneous Expenses and Commitment</t>
  </si>
  <si>
    <t>Project Name</t>
  </si>
  <si>
    <t>Club T shirt</t>
  </si>
  <si>
    <t>Diary and Pen</t>
  </si>
  <si>
    <t>Rotaract Club Of Pashupati Kathmandu Installation</t>
  </si>
  <si>
    <t>FP Rotarct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</si>
</sst>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##"/>
    <numFmt numFmtId="166" formatCode="&quot;$&quot;#,##0.00"/>
  </numFmts>
  <fonts count="15">
    <font>
      <sz val="10"/>
      <name val="Arial"/>
    </font>
    <font>
      <sz val="9"/>
      <color indexed="63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Arial"/>
    </font>
    <font>
      <b/>
      <sz val="11"/>
      <name val="Arial"/>
    </font>
    <font>
      <sz val="12"/>
      <name val="Arial"/>
    </font>
    <font>
      <b/>
      <sz val="12"/>
      <name val="Arial"/>
    </font>
    <font>
      <sz val="1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3" xfId="0" applyBorder="1"/>
    <xf numFmtId="0" fontId="0" fillId="0" borderId="8" xfId="0" applyBorder="1"/>
    <xf numFmtId="0" fontId="0" fillId="0" borderId="6" xfId="0" applyBorder="1"/>
    <xf numFmtId="0" fontId="0" fillId="0" borderId="7" xfId="0" applyBorder="1"/>
    <xf numFmtId="166" fontId="0" fillId="0" borderId="3" xfId="0" applyNumberFormat="1" applyBorder="1"/>
    <xf numFmtId="0" fontId="0" fillId="0" borderId="1" xfId="0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166" fontId="0" fillId="0" borderId="6" xfId="0" applyNumberFormat="1" applyBorder="1"/>
    <xf numFmtId="0" fontId="7" fillId="0" borderId="3" xfId="0" applyFont="1" applyBorder="1"/>
    <xf numFmtId="0" fontId="7" fillId="0" borderId="0" xfId="0" applyFont="1"/>
    <xf numFmtId="0" fontId="5" fillId="0" borderId="1" xfId="0" applyFont="1" applyBorder="1"/>
    <xf numFmtId="0" fontId="7" fillId="0" borderId="6" xfId="0" applyFont="1" applyBorder="1"/>
    <xf numFmtId="49" fontId="4" fillId="0" borderId="2" xfId="0" applyNumberFormat="1" applyFont="1" applyBorder="1" applyAlignment="1">
      <alignment horizontal="left"/>
    </xf>
    <xf numFmtId="0" fontId="7" fillId="0" borderId="1" xfId="0" applyFont="1" applyBorder="1"/>
    <xf numFmtId="0" fontId="0" fillId="0" borderId="13" xfId="0" applyBorder="1"/>
    <xf numFmtId="0" fontId="5" fillId="0" borderId="5" xfId="0" applyFont="1" applyBorder="1"/>
    <xf numFmtId="0" fontId="0" fillId="0" borderId="5" xfId="0" applyBorder="1"/>
    <xf numFmtId="0" fontId="7" fillId="0" borderId="4" xfId="0" applyFont="1" applyBorder="1"/>
    <xf numFmtId="0" fontId="7" fillId="0" borderId="13" xfId="0" applyFont="1" applyBorder="1"/>
    <xf numFmtId="0" fontId="0" fillId="0" borderId="20" xfId="0" applyBorder="1"/>
    <xf numFmtId="0" fontId="8" fillId="0" borderId="21" xfId="0" applyFont="1" applyBorder="1"/>
    <xf numFmtId="0" fontId="0" fillId="0" borderId="22" xfId="0" applyBorder="1"/>
    <xf numFmtId="0" fontId="0" fillId="0" borderId="23" xfId="0" applyBorder="1"/>
    <xf numFmtId="0" fontId="7" fillId="0" borderId="24" xfId="0" applyFont="1" applyBorder="1"/>
    <xf numFmtId="0" fontId="0" fillId="0" borderId="4" xfId="0" applyBorder="1"/>
    <xf numFmtId="16" fontId="0" fillId="0" borderId="6" xfId="0" applyNumberFormat="1" applyBorder="1"/>
    <xf numFmtId="49" fontId="4" fillId="0" borderId="3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9" fillId="0" borderId="3" xfId="0" applyFont="1" applyBorder="1"/>
    <xf numFmtId="0" fontId="9" fillId="0" borderId="8" xfId="0" applyFont="1" applyBorder="1"/>
    <xf numFmtId="0" fontId="7" fillId="2" borderId="3" xfId="0" applyFont="1" applyFill="1" applyBorder="1"/>
    <xf numFmtId="0" fontId="0" fillId="3" borderId="3" xfId="0" applyFill="1" applyBorder="1"/>
    <xf numFmtId="0" fontId="7" fillId="3" borderId="3" xfId="0" applyFont="1" applyFill="1" applyBorder="1"/>
    <xf numFmtId="0" fontId="0" fillId="2" borderId="3" xfId="0" applyFill="1" applyBorder="1"/>
    <xf numFmtId="49" fontId="1" fillId="2" borderId="3" xfId="0" applyNumberFormat="1" applyFont="1" applyFill="1" applyBorder="1" applyAlignment="1">
      <alignment horizontal="left"/>
    </xf>
    <xf numFmtId="0" fontId="0" fillId="2" borderId="0" xfId="0" applyFill="1"/>
    <xf numFmtId="0" fontId="11" fillId="0" borderId="1" xfId="0" applyFont="1" applyBorder="1" applyAlignment="1">
      <alignment readingOrder="1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readingOrder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readingOrder="1"/>
    </xf>
    <xf numFmtId="0" fontId="13" fillId="0" borderId="1" xfId="0" applyFont="1" applyBorder="1"/>
    <xf numFmtId="0" fontId="14" fillId="0" borderId="0" xfId="0" applyFont="1"/>
    <xf numFmtId="0" fontId="12" fillId="0" borderId="1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readingOrder="1"/>
    </xf>
    <xf numFmtId="0" fontId="5" fillId="0" borderId="25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0" borderId="1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41EA-4A34-4A4E-AC53-EBF5DFEF0DAC}">
  <dimension ref="A1:K50"/>
  <sheetViews>
    <sheetView topLeftCell="A18" workbookViewId="0">
      <selection activeCell="G32" sqref="G32"/>
    </sheetView>
  </sheetViews>
  <sheetFormatPr defaultColWidth="11.42578125" defaultRowHeight="12.75"/>
  <cols>
    <col min="1" max="1" width="19.7109375" bestFit="1" customWidth="1"/>
    <col min="3" max="3" width="18.5703125" bestFit="1" customWidth="1"/>
    <col min="7" max="7" width="73.140625" bestFit="1" customWidth="1"/>
    <col min="9" max="9" width="13.140625" bestFit="1" customWidth="1"/>
    <col min="10" max="10" width="14.85546875" bestFit="1" customWidth="1"/>
  </cols>
  <sheetData>
    <row r="1" spans="1:11" ht="16.5" thickBot="1">
      <c r="A1" s="57" t="s">
        <v>0</v>
      </c>
      <c r="B1" s="57"/>
      <c r="C1" s="57"/>
      <c r="D1" s="57"/>
      <c r="E1" s="57"/>
    </row>
    <row r="2" spans="1:11" ht="12.95" customHeight="1" thickBot="1">
      <c r="A2" s="55" t="s">
        <v>1</v>
      </c>
      <c r="B2" s="56"/>
      <c r="C2" s="58" t="s">
        <v>2</v>
      </c>
      <c r="D2" s="59"/>
      <c r="E2" s="59"/>
      <c r="F2" s="60"/>
      <c r="G2" s="61" t="s">
        <v>3</v>
      </c>
      <c r="H2" s="62"/>
      <c r="I2" s="62"/>
      <c r="J2" s="62"/>
    </row>
    <row r="3" spans="1:11">
      <c r="A3" s="27" t="s">
        <v>4</v>
      </c>
      <c r="B3" s="27" t="s">
        <v>5</v>
      </c>
      <c r="C3" s="33" t="s">
        <v>4</v>
      </c>
      <c r="D3" s="27" t="s">
        <v>5</v>
      </c>
      <c r="E3" s="28" t="s">
        <v>6</v>
      </c>
      <c r="F3" s="28" t="s">
        <v>7</v>
      </c>
      <c r="G3" s="18" t="s">
        <v>8</v>
      </c>
      <c r="H3" s="21" t="s">
        <v>9</v>
      </c>
      <c r="I3" s="21" t="s">
        <v>10</v>
      </c>
      <c r="J3" s="21" t="s">
        <v>11</v>
      </c>
      <c r="K3" s="18" t="s">
        <v>12</v>
      </c>
    </row>
    <row r="4" spans="1:11">
      <c r="A4" s="1" t="s">
        <v>13</v>
      </c>
      <c r="B4" s="3">
        <f>'Membership dues'!C63</f>
        <v>273500</v>
      </c>
      <c r="C4" s="1" t="s">
        <v>14</v>
      </c>
      <c r="D4" s="32"/>
      <c r="E4" s="3"/>
      <c r="F4" s="3"/>
      <c r="G4" s="1" t="s">
        <v>15</v>
      </c>
      <c r="H4" s="1">
        <v>1000000</v>
      </c>
      <c r="I4" s="24" t="s">
        <v>16</v>
      </c>
      <c r="J4" s="24">
        <f t="shared" ref="J4:J19" si="0">H4*11%</f>
        <v>110000</v>
      </c>
      <c r="K4" s="1"/>
    </row>
    <row r="5" spans="1:11">
      <c r="A5" s="1" t="s">
        <v>17</v>
      </c>
      <c r="B5" s="3">
        <f>'Souvenier advertisement'!E39</f>
        <v>160000</v>
      </c>
      <c r="C5" s="1" t="s">
        <v>18</v>
      </c>
      <c r="D5" s="32"/>
      <c r="E5" s="3"/>
      <c r="F5" s="3"/>
      <c r="G5" s="1" t="s">
        <v>19</v>
      </c>
      <c r="H5" s="1">
        <v>700000</v>
      </c>
      <c r="I5" s="3" t="s">
        <v>16</v>
      </c>
      <c r="J5" s="24">
        <f t="shared" si="0"/>
        <v>77000</v>
      </c>
      <c r="K5" s="1"/>
    </row>
    <row r="6" spans="1:11">
      <c r="A6" s="1" t="s">
        <v>20</v>
      </c>
      <c r="B6" s="3">
        <f>'Service projects'!C23+'Service projects'!C36</f>
        <v>277000</v>
      </c>
      <c r="C6" s="1" t="s">
        <v>21</v>
      </c>
      <c r="D6" s="32"/>
      <c r="E6" s="3"/>
      <c r="F6" s="3"/>
      <c r="G6" s="1" t="s">
        <v>22</v>
      </c>
      <c r="H6" s="1">
        <v>100000</v>
      </c>
      <c r="I6" s="3" t="s">
        <v>16</v>
      </c>
      <c r="J6" s="24">
        <f t="shared" si="0"/>
        <v>11000</v>
      </c>
      <c r="K6" s="1"/>
    </row>
    <row r="7" spans="1:11">
      <c r="A7" s="1" t="s">
        <v>21</v>
      </c>
      <c r="B7" s="17">
        <f>TRF!B51</f>
        <v>360</v>
      </c>
      <c r="C7" s="1" t="s">
        <v>23</v>
      </c>
      <c r="D7" s="32"/>
      <c r="E7" s="3"/>
      <c r="F7" s="3"/>
      <c r="G7" s="1" t="s">
        <v>24</v>
      </c>
      <c r="H7" s="1">
        <v>150000</v>
      </c>
      <c r="I7" s="3" t="s">
        <v>16</v>
      </c>
      <c r="J7" s="24">
        <f t="shared" si="0"/>
        <v>16500</v>
      </c>
      <c r="K7" s="1"/>
    </row>
    <row r="8" spans="1:11">
      <c r="A8" t="s">
        <v>25</v>
      </c>
      <c r="B8" s="3">
        <f>'Smile a wile'!D51</f>
        <v>15808</v>
      </c>
      <c r="C8" s="1" t="s">
        <v>26</v>
      </c>
      <c r="D8" s="32">
        <v>35000</v>
      </c>
      <c r="E8" s="3" t="s">
        <v>27</v>
      </c>
      <c r="F8" s="35">
        <v>45850</v>
      </c>
      <c r="G8" s="1" t="s">
        <v>28</v>
      </c>
      <c r="H8" s="1">
        <v>500000</v>
      </c>
      <c r="I8" s="3" t="s">
        <v>29</v>
      </c>
      <c r="J8" s="24">
        <f t="shared" si="0"/>
        <v>55000</v>
      </c>
      <c r="K8" s="1"/>
    </row>
    <row r="9" spans="1:11">
      <c r="A9" s="1" t="s">
        <v>30</v>
      </c>
      <c r="B9" s="3"/>
      <c r="C9" s="1" t="s">
        <v>31</v>
      </c>
      <c r="D9" s="32"/>
      <c r="E9" s="3"/>
      <c r="F9" s="3"/>
      <c r="G9" s="1"/>
      <c r="H9" s="1"/>
      <c r="I9" s="3"/>
      <c r="J9" s="24">
        <f t="shared" si="0"/>
        <v>0</v>
      </c>
      <c r="K9" s="1"/>
    </row>
    <row r="10" spans="1:11">
      <c r="A10" s="1" t="s">
        <v>32</v>
      </c>
      <c r="B10" s="3">
        <f>J20</f>
        <v>269500</v>
      </c>
      <c r="C10" s="1"/>
      <c r="D10" s="32"/>
      <c r="E10" s="3"/>
      <c r="F10" s="3"/>
      <c r="G10" s="1"/>
      <c r="H10" s="1"/>
      <c r="I10" s="3"/>
      <c r="J10" s="24">
        <f t="shared" si="0"/>
        <v>0</v>
      </c>
      <c r="K10" s="1"/>
    </row>
    <row r="11" spans="1:11">
      <c r="A11" s="1" t="s">
        <v>27</v>
      </c>
      <c r="B11" s="1">
        <f>'Membership dues'!E63</f>
        <v>82500</v>
      </c>
      <c r="C11" s="34"/>
      <c r="D11" s="1"/>
      <c r="E11" s="3"/>
      <c r="F11" s="3"/>
      <c r="G11" s="1"/>
      <c r="H11" s="1"/>
      <c r="I11" s="3"/>
      <c r="J11" s="24">
        <f t="shared" si="0"/>
        <v>0</v>
      </c>
      <c r="K11" s="1"/>
    </row>
    <row r="12" spans="1:11">
      <c r="A12" s="1"/>
      <c r="B12" s="1"/>
      <c r="C12" s="1"/>
      <c r="D12" s="1"/>
      <c r="E12" s="3"/>
      <c r="F12" s="3"/>
      <c r="G12" s="1"/>
      <c r="H12" s="1"/>
      <c r="I12" s="3"/>
      <c r="J12" s="24">
        <f t="shared" si="0"/>
        <v>0</v>
      </c>
      <c r="K12" s="1"/>
    </row>
    <row r="13" spans="1:11">
      <c r="A13" s="1"/>
      <c r="B13" s="1"/>
      <c r="C13" s="1"/>
      <c r="D13" s="1"/>
      <c r="E13" s="3"/>
      <c r="F13" s="3"/>
      <c r="G13" s="1"/>
      <c r="H13" s="1"/>
      <c r="I13" s="3"/>
      <c r="J13" s="24">
        <f t="shared" si="0"/>
        <v>0</v>
      </c>
      <c r="K13" s="1"/>
    </row>
    <row r="14" spans="1:11">
      <c r="A14" s="1"/>
      <c r="B14" s="1"/>
      <c r="C14" s="1"/>
      <c r="D14" s="1"/>
      <c r="E14" s="3"/>
      <c r="F14" s="3"/>
      <c r="G14" s="1"/>
      <c r="H14" s="1"/>
      <c r="I14" s="3"/>
      <c r="J14" s="24">
        <f t="shared" si="0"/>
        <v>0</v>
      </c>
      <c r="K14" s="1"/>
    </row>
    <row r="15" spans="1:11">
      <c r="A15" s="1"/>
      <c r="B15" s="1"/>
      <c r="C15" s="1"/>
      <c r="D15" s="1"/>
      <c r="E15" s="3"/>
      <c r="F15" s="3"/>
      <c r="G15" s="1"/>
      <c r="H15" s="1"/>
      <c r="I15" s="3"/>
      <c r="J15" s="24">
        <f t="shared" si="0"/>
        <v>0</v>
      </c>
      <c r="K15" s="1"/>
    </row>
    <row r="16" spans="1:11">
      <c r="A16" s="1"/>
      <c r="B16" s="1"/>
      <c r="C16" s="1"/>
      <c r="D16" s="1"/>
      <c r="E16" s="3"/>
      <c r="F16" s="3"/>
      <c r="G16" s="1"/>
      <c r="H16" s="1"/>
      <c r="I16" s="3"/>
      <c r="J16" s="24">
        <f t="shared" si="0"/>
        <v>0</v>
      </c>
      <c r="K16" s="1"/>
    </row>
    <row r="17" spans="1:11">
      <c r="A17" s="1"/>
      <c r="B17" s="1"/>
      <c r="C17" s="1"/>
      <c r="D17" s="1"/>
      <c r="E17" s="3"/>
      <c r="F17" s="3"/>
      <c r="G17" s="1"/>
      <c r="H17" s="1"/>
      <c r="I17" s="3"/>
      <c r="J17" s="24">
        <f t="shared" si="0"/>
        <v>0</v>
      </c>
      <c r="K17" s="1"/>
    </row>
    <row r="18" spans="1:11">
      <c r="A18" s="1"/>
      <c r="B18" s="1"/>
      <c r="C18" s="1"/>
      <c r="D18" s="1"/>
      <c r="E18" s="3"/>
      <c r="F18" s="3"/>
      <c r="G18" s="1"/>
      <c r="H18" s="1"/>
      <c r="I18" s="3"/>
      <c r="J18" s="24">
        <f t="shared" si="0"/>
        <v>0</v>
      </c>
      <c r="K18" s="1"/>
    </row>
    <row r="19" spans="1:11">
      <c r="A19" s="1"/>
      <c r="B19" s="1"/>
      <c r="C19" s="1"/>
      <c r="D19" s="1"/>
      <c r="E19" s="3"/>
      <c r="F19" s="3"/>
      <c r="G19" s="1"/>
      <c r="H19" s="1"/>
      <c r="I19" s="3"/>
      <c r="J19" s="24">
        <f t="shared" si="0"/>
        <v>0</v>
      </c>
      <c r="K19" s="1"/>
    </row>
    <row r="20" spans="1:11">
      <c r="A20" s="1"/>
      <c r="B20" s="1"/>
      <c r="C20" s="1"/>
      <c r="D20" s="1"/>
      <c r="E20" s="3"/>
      <c r="F20" s="3"/>
      <c r="G20" s="1"/>
      <c r="H20" s="1">
        <f>SUM(H4:H19)</f>
        <v>2450000</v>
      </c>
      <c r="I20" s="4"/>
      <c r="J20" s="4">
        <f>SUM(J4:J19)</f>
        <v>269500</v>
      </c>
      <c r="K20" s="1"/>
    </row>
    <row r="21" spans="1:11">
      <c r="A21" s="1"/>
      <c r="B21" s="1"/>
      <c r="C21" s="1"/>
      <c r="D21" s="1"/>
      <c r="E21" s="3"/>
      <c r="F21" s="1"/>
      <c r="I21" s="1" t="s">
        <v>33</v>
      </c>
      <c r="J21" s="1"/>
    </row>
    <row r="22" spans="1:11">
      <c r="A22" s="1"/>
      <c r="B22" s="1"/>
      <c r="C22" s="1"/>
      <c r="D22" s="1"/>
      <c r="E22" s="3"/>
      <c r="F22" s="1"/>
      <c r="I22" s="1">
        <v>2</v>
      </c>
      <c r="J22" s="1">
        <f>I22*J20</f>
        <v>539000</v>
      </c>
    </row>
    <row r="23" spans="1:11">
      <c r="A23" s="1"/>
      <c r="B23" s="1"/>
      <c r="C23" s="1"/>
      <c r="D23" s="1"/>
      <c r="E23" s="3"/>
      <c r="F23" s="1"/>
      <c r="G23" t="s">
        <v>34</v>
      </c>
    </row>
    <row r="24" spans="1:11">
      <c r="A24" s="1"/>
      <c r="B24" s="1"/>
      <c r="C24" s="1"/>
      <c r="D24" s="1"/>
      <c r="E24" s="3"/>
      <c r="F24" s="1"/>
      <c r="G24" t="s">
        <v>35</v>
      </c>
    </row>
    <row r="25" spans="1:11">
      <c r="A25" s="1"/>
      <c r="B25" s="1"/>
      <c r="C25" s="1"/>
      <c r="D25" s="1"/>
      <c r="E25" s="3"/>
      <c r="F25" s="1"/>
    </row>
    <row r="26" spans="1:11">
      <c r="A26" s="1"/>
      <c r="B26" s="1"/>
      <c r="C26" s="1"/>
      <c r="D26" s="1"/>
      <c r="E26" s="3"/>
      <c r="F26" s="1"/>
    </row>
    <row r="27" spans="1:11">
      <c r="A27" s="1"/>
      <c r="B27" s="1"/>
      <c r="C27" s="1"/>
      <c r="D27" s="1"/>
      <c r="E27" s="3"/>
      <c r="F27" s="1"/>
    </row>
    <row r="28" spans="1:11">
      <c r="A28" s="1"/>
      <c r="B28" s="1"/>
      <c r="C28" s="1"/>
      <c r="D28" s="1"/>
      <c r="E28" s="3"/>
      <c r="F28" s="1"/>
    </row>
    <row r="29" spans="1:11">
      <c r="A29" s="1"/>
      <c r="B29" s="1"/>
      <c r="C29" s="1"/>
      <c r="D29" s="1"/>
      <c r="E29" s="3"/>
      <c r="F29" s="1"/>
    </row>
    <row r="30" spans="1:11">
      <c r="A30" s="1"/>
      <c r="B30" s="1"/>
      <c r="C30" s="1"/>
      <c r="D30" s="1"/>
      <c r="E30" s="3"/>
      <c r="F30" s="1"/>
    </row>
    <row r="31" spans="1:11">
      <c r="A31" s="1"/>
      <c r="B31" s="1"/>
      <c r="C31" s="1"/>
      <c r="D31" s="1"/>
      <c r="E31" s="3"/>
      <c r="F31" s="1"/>
    </row>
    <row r="32" spans="1:11">
      <c r="A32" s="1"/>
      <c r="B32" s="1"/>
      <c r="C32" s="1"/>
      <c r="D32" s="1"/>
      <c r="E32" s="3"/>
      <c r="F32" s="1"/>
    </row>
    <row r="33" spans="1:6">
      <c r="A33" s="1"/>
      <c r="B33" s="1"/>
      <c r="C33" s="1"/>
      <c r="D33" s="1"/>
      <c r="E33" s="3"/>
      <c r="F33" s="1"/>
    </row>
    <row r="34" spans="1:6">
      <c r="A34" s="1"/>
      <c r="B34" s="1"/>
      <c r="C34" s="1"/>
      <c r="D34" s="1"/>
      <c r="E34" s="3"/>
      <c r="F34" s="1"/>
    </row>
    <row r="35" spans="1:6">
      <c r="A35" s="1"/>
      <c r="B35" s="1"/>
      <c r="C35" s="1"/>
      <c r="D35" s="1"/>
      <c r="E35" s="3"/>
      <c r="F35" s="1"/>
    </row>
    <row r="36" spans="1:6">
      <c r="A36" s="1"/>
      <c r="B36" s="1"/>
      <c r="C36" s="1"/>
      <c r="D36" s="1"/>
      <c r="E36" s="3"/>
      <c r="F36" s="1"/>
    </row>
    <row r="37" spans="1:6">
      <c r="A37" s="1"/>
      <c r="B37" s="1"/>
      <c r="C37" s="1"/>
      <c r="D37" s="1"/>
      <c r="E37" s="3"/>
      <c r="F37" s="1"/>
    </row>
    <row r="38" spans="1:6">
      <c r="A38" s="1"/>
      <c r="B38" s="1"/>
      <c r="C38" s="1"/>
      <c r="D38" s="1"/>
      <c r="E38" s="3"/>
      <c r="F38" s="1"/>
    </row>
    <row r="39" spans="1:6">
      <c r="A39" s="1"/>
      <c r="B39" s="1"/>
      <c r="C39" s="1"/>
      <c r="D39" s="1"/>
      <c r="E39" s="3"/>
      <c r="F39" s="1"/>
    </row>
    <row r="40" spans="1:6">
      <c r="A40" s="1"/>
      <c r="B40" s="1"/>
      <c r="C40" s="1"/>
      <c r="D40" s="1"/>
      <c r="E40" s="3"/>
      <c r="F40" s="1"/>
    </row>
    <row r="41" spans="1:6">
      <c r="A41" s="1"/>
      <c r="B41" s="1"/>
      <c r="C41" s="1"/>
      <c r="D41" s="1"/>
      <c r="E41" s="3"/>
      <c r="F41" s="1"/>
    </row>
    <row r="42" spans="1:6">
      <c r="A42" s="1"/>
      <c r="B42" s="1"/>
      <c r="C42" s="1"/>
      <c r="D42" s="1"/>
      <c r="E42" s="3"/>
      <c r="F42" s="1"/>
    </row>
    <row r="43" spans="1:6">
      <c r="A43" s="1"/>
      <c r="B43" s="1"/>
      <c r="C43" s="1"/>
      <c r="D43" s="1"/>
      <c r="E43" s="3"/>
      <c r="F43" s="1"/>
    </row>
    <row r="44" spans="1:6">
      <c r="A44" s="1"/>
      <c r="B44" s="1"/>
      <c r="C44" s="1"/>
      <c r="D44" s="1"/>
      <c r="E44" s="3"/>
      <c r="F44" s="1"/>
    </row>
    <row r="45" spans="1:6">
      <c r="A45" s="1"/>
      <c r="B45" s="1"/>
      <c r="C45" s="1"/>
      <c r="D45" s="1"/>
      <c r="E45" s="3"/>
      <c r="F45" s="1"/>
    </row>
    <row r="46" spans="1:6">
      <c r="A46" s="1"/>
      <c r="B46" s="1"/>
      <c r="C46" s="1"/>
      <c r="D46" s="1"/>
      <c r="E46" s="3"/>
      <c r="F46" s="1"/>
    </row>
    <row r="47" spans="1:6">
      <c r="A47" s="1"/>
      <c r="B47" s="1"/>
      <c r="C47" s="1"/>
      <c r="D47" s="1"/>
      <c r="E47" s="3"/>
      <c r="F47" s="1"/>
    </row>
    <row r="48" spans="1:6">
      <c r="A48" s="1"/>
      <c r="B48" s="1"/>
      <c r="C48" s="1"/>
      <c r="D48" s="1"/>
      <c r="E48" s="3"/>
      <c r="F48" s="1"/>
    </row>
    <row r="49" spans="1:6">
      <c r="A49" s="1"/>
      <c r="B49" s="1"/>
      <c r="C49" s="1"/>
      <c r="D49" s="1"/>
      <c r="E49" s="3"/>
      <c r="F49" s="1"/>
    </row>
    <row r="50" spans="1:6">
      <c r="A50" s="1"/>
      <c r="B50" s="1"/>
      <c r="C50" s="1"/>
      <c r="D50" s="1"/>
      <c r="E50" s="3"/>
      <c r="F50" s="1"/>
    </row>
  </sheetData>
  <mergeCells count="4">
    <mergeCell ref="A2:B2"/>
    <mergeCell ref="A1:E1"/>
    <mergeCell ref="C2:F2"/>
    <mergeCell ref="G2:J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65A6-7342-1C46-93AE-A577E6C1204B}">
  <dimension ref="A1:R51"/>
  <sheetViews>
    <sheetView workbookViewId="0">
      <selection activeCell="A32" sqref="A32"/>
    </sheetView>
  </sheetViews>
  <sheetFormatPr defaultColWidth="11.42578125" defaultRowHeight="12.75"/>
  <cols>
    <col min="1" max="1" width="11.7109375" customWidth="1"/>
    <col min="2" max="2" width="26.42578125" customWidth="1"/>
    <col min="3" max="3" width="10.7109375" customWidth="1"/>
    <col min="4" max="4" width="13" customWidth="1"/>
    <col min="5" max="5" width="16.28515625" customWidth="1"/>
    <col min="6" max="6" width="29" customWidth="1"/>
    <col min="7" max="7" width="30.85546875" customWidth="1"/>
    <col min="8" max="8" width="17" customWidth="1"/>
    <col min="9" max="10" width="0.28515625" customWidth="1"/>
    <col min="11" max="11" width="13" bestFit="1" customWidth="1"/>
    <col min="12" max="12" width="13.5703125" bestFit="1" customWidth="1"/>
    <col min="13" max="14" width="10.140625" bestFit="1" customWidth="1"/>
    <col min="15" max="256" width="8.85546875" customWidth="1"/>
  </cols>
  <sheetData>
    <row r="1" spans="1:18" s="8" customFormat="1" ht="26.1" customHeight="1">
      <c r="A1" s="22" t="s">
        <v>36</v>
      </c>
      <c r="B1" s="22" t="s">
        <v>37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  <c r="H1" s="22" t="s">
        <v>43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8" customFormat="1" ht="19.5" customHeight="1">
      <c r="A2" s="9">
        <v>11737537</v>
      </c>
      <c r="B2" s="10" t="s">
        <v>44</v>
      </c>
      <c r="C2" s="10" t="s">
        <v>45</v>
      </c>
      <c r="D2" s="10" t="s">
        <v>46</v>
      </c>
      <c r="E2" s="11">
        <v>45042</v>
      </c>
      <c r="F2" s="10" t="s">
        <v>47</v>
      </c>
      <c r="G2" s="10" t="s">
        <v>48</v>
      </c>
      <c r="H2" s="10"/>
      <c r="K2" s="12"/>
      <c r="L2" s="12"/>
      <c r="M2" s="12"/>
      <c r="N2" s="12"/>
      <c r="O2" s="12"/>
    </row>
    <row r="3" spans="1:18" s="8" customFormat="1" ht="19.5" customHeight="1">
      <c r="A3" s="9">
        <v>12180438</v>
      </c>
      <c r="B3" s="10" t="s">
        <v>49</v>
      </c>
      <c r="C3" s="10" t="s">
        <v>50</v>
      </c>
      <c r="D3" s="10" t="s">
        <v>46</v>
      </c>
      <c r="E3" s="11">
        <v>45585</v>
      </c>
      <c r="F3" s="10" t="s">
        <v>51</v>
      </c>
      <c r="G3" s="10" t="s">
        <v>52</v>
      </c>
      <c r="H3" s="10" t="s">
        <v>53</v>
      </c>
      <c r="K3" s="12"/>
      <c r="L3" s="12"/>
      <c r="M3" s="12"/>
      <c r="N3" s="12"/>
      <c r="O3" s="12"/>
    </row>
    <row r="4" spans="1:18" s="8" customFormat="1" ht="19.5" customHeight="1">
      <c r="A4" s="9">
        <v>8530082</v>
      </c>
      <c r="B4" s="10" t="s">
        <v>54</v>
      </c>
      <c r="C4" s="10" t="s">
        <v>50</v>
      </c>
      <c r="D4" s="10" t="s">
        <v>55</v>
      </c>
      <c r="E4" s="11">
        <v>41105</v>
      </c>
      <c r="F4" s="10" t="s">
        <v>51</v>
      </c>
      <c r="G4" s="10" t="s">
        <v>56</v>
      </c>
      <c r="H4" s="10" t="s">
        <v>57</v>
      </c>
      <c r="K4" s="12"/>
      <c r="L4" s="12"/>
      <c r="M4" s="12"/>
      <c r="N4" s="12"/>
      <c r="O4" s="12"/>
    </row>
    <row r="5" spans="1:18" s="8" customFormat="1" ht="19.5" customHeight="1">
      <c r="A5" s="9">
        <v>9600732</v>
      </c>
      <c r="B5" s="10" t="s">
        <v>58</v>
      </c>
      <c r="C5" s="10" t="s">
        <v>50</v>
      </c>
      <c r="D5" s="10" t="s">
        <v>46</v>
      </c>
      <c r="E5" s="11">
        <v>42508</v>
      </c>
      <c r="F5" s="10" t="s">
        <v>51</v>
      </c>
      <c r="G5" s="10" t="s">
        <v>59</v>
      </c>
      <c r="H5" s="10" t="s">
        <v>60</v>
      </c>
      <c r="K5" s="12"/>
      <c r="L5" s="12"/>
      <c r="M5" s="12"/>
      <c r="N5" s="12"/>
      <c r="O5" s="12"/>
    </row>
    <row r="6" spans="1:18" s="8" customFormat="1" ht="19.5" customHeight="1">
      <c r="A6" s="9">
        <v>6007108</v>
      </c>
      <c r="B6" s="10" t="s">
        <v>61</v>
      </c>
      <c r="C6" s="10" t="s">
        <v>50</v>
      </c>
      <c r="D6" s="10" t="s">
        <v>62</v>
      </c>
      <c r="E6" s="11">
        <v>40359</v>
      </c>
      <c r="F6" s="10" t="s">
        <v>51</v>
      </c>
      <c r="G6" s="10" t="s">
        <v>63</v>
      </c>
      <c r="H6" s="10" t="s">
        <v>64</v>
      </c>
      <c r="K6" s="12"/>
      <c r="L6" s="12"/>
      <c r="M6" s="12"/>
      <c r="N6" s="12"/>
      <c r="O6" s="12"/>
    </row>
    <row r="7" spans="1:18" s="8" customFormat="1" ht="19.5" customHeight="1">
      <c r="A7" s="9">
        <v>10642646</v>
      </c>
      <c r="B7" s="10" t="s">
        <v>65</v>
      </c>
      <c r="C7" s="10" t="s">
        <v>50</v>
      </c>
      <c r="D7" s="10" t="s">
        <v>66</v>
      </c>
      <c r="E7" s="11">
        <v>43679</v>
      </c>
      <c r="F7" s="10" t="s">
        <v>51</v>
      </c>
      <c r="G7" s="10" t="s">
        <v>67</v>
      </c>
      <c r="H7" s="10" t="s">
        <v>68</v>
      </c>
      <c r="K7" s="12"/>
      <c r="L7" s="12"/>
      <c r="M7" s="12"/>
      <c r="N7" s="12"/>
      <c r="O7" s="12"/>
    </row>
    <row r="8" spans="1:18" s="8" customFormat="1" ht="19.5" customHeight="1">
      <c r="A8" s="9">
        <v>11210429</v>
      </c>
      <c r="B8" s="10" t="s">
        <v>69</v>
      </c>
      <c r="C8" s="10" t="s">
        <v>70</v>
      </c>
      <c r="D8" s="10" t="s">
        <v>55</v>
      </c>
      <c r="E8" s="11">
        <v>45345</v>
      </c>
      <c r="F8" s="10" t="s">
        <v>47</v>
      </c>
      <c r="G8" s="10" t="s">
        <v>71</v>
      </c>
      <c r="H8" s="10" t="s">
        <v>72</v>
      </c>
      <c r="K8" s="12"/>
      <c r="L8" s="12"/>
      <c r="M8" s="12"/>
      <c r="N8" s="12"/>
      <c r="O8" s="12"/>
    </row>
    <row r="9" spans="1:18" s="8" customFormat="1" ht="19.5" customHeight="1">
      <c r="A9" s="9">
        <v>12199248</v>
      </c>
      <c r="B9" s="10" t="s">
        <v>73</v>
      </c>
      <c r="C9" s="10" t="s">
        <v>50</v>
      </c>
      <c r="D9" s="10" t="s">
        <v>46</v>
      </c>
      <c r="E9" s="11">
        <v>45611</v>
      </c>
      <c r="F9" s="10" t="s">
        <v>51</v>
      </c>
      <c r="G9" s="10" t="s">
        <v>74</v>
      </c>
      <c r="H9" s="10" t="s">
        <v>75</v>
      </c>
      <c r="K9" s="12"/>
      <c r="L9" s="12"/>
      <c r="M9" s="12"/>
      <c r="N9" s="12"/>
      <c r="O9" s="12"/>
    </row>
    <row r="10" spans="1:18" s="8" customFormat="1" ht="19.5" customHeight="1">
      <c r="A10" s="9">
        <v>5782750</v>
      </c>
      <c r="B10" s="10" t="s">
        <v>76</v>
      </c>
      <c r="C10" s="10" t="s">
        <v>50</v>
      </c>
      <c r="D10" s="10" t="s">
        <v>62</v>
      </c>
      <c r="E10" s="11">
        <v>37437</v>
      </c>
      <c r="F10" s="10" t="s">
        <v>51</v>
      </c>
      <c r="G10" s="10" t="s">
        <v>77</v>
      </c>
      <c r="H10" s="10" t="s">
        <v>78</v>
      </c>
      <c r="K10" s="12"/>
      <c r="L10" s="12"/>
      <c r="M10" s="12"/>
      <c r="N10" s="12"/>
      <c r="O10" s="12"/>
    </row>
    <row r="11" spans="1:18" s="8" customFormat="1" ht="19.5" customHeight="1">
      <c r="A11" s="9">
        <v>10827423</v>
      </c>
      <c r="B11" s="10" t="s">
        <v>79</v>
      </c>
      <c r="C11" s="10" t="s">
        <v>70</v>
      </c>
      <c r="D11" s="10" t="s">
        <v>62</v>
      </c>
      <c r="E11" s="11">
        <v>43896</v>
      </c>
      <c r="F11" s="10" t="s">
        <v>47</v>
      </c>
      <c r="G11" s="10"/>
      <c r="H11" s="10"/>
      <c r="K11" s="12"/>
      <c r="L11" s="12"/>
      <c r="M11" s="12"/>
      <c r="N11" s="12"/>
      <c r="O11" s="12"/>
    </row>
    <row r="12" spans="1:18" s="8" customFormat="1" ht="19.5" customHeight="1">
      <c r="A12" s="9">
        <v>5782751</v>
      </c>
      <c r="B12" s="10" t="s">
        <v>80</v>
      </c>
      <c r="C12" s="10" t="s">
        <v>70</v>
      </c>
      <c r="D12" s="10" t="s">
        <v>62</v>
      </c>
      <c r="E12" s="11">
        <v>37437</v>
      </c>
      <c r="F12" s="10" t="s">
        <v>51</v>
      </c>
      <c r="G12" s="10" t="s">
        <v>81</v>
      </c>
      <c r="H12" s="10" t="s">
        <v>82</v>
      </c>
      <c r="K12" s="12"/>
      <c r="L12" s="12"/>
      <c r="M12" s="12"/>
      <c r="N12" s="12"/>
      <c r="O12" s="12"/>
    </row>
    <row r="13" spans="1:18" s="8" customFormat="1" ht="19.5" customHeight="1">
      <c r="A13" s="9">
        <v>11210423</v>
      </c>
      <c r="B13" s="10" t="s">
        <v>83</v>
      </c>
      <c r="C13" s="10" t="s">
        <v>50</v>
      </c>
      <c r="D13" s="10" t="s">
        <v>66</v>
      </c>
      <c r="E13" s="11">
        <v>44409</v>
      </c>
      <c r="F13" s="10" t="s">
        <v>51</v>
      </c>
      <c r="G13" s="10" t="s">
        <v>84</v>
      </c>
      <c r="H13" s="10" t="s">
        <v>85</v>
      </c>
      <c r="K13" s="12"/>
      <c r="L13" s="12"/>
      <c r="M13" s="12"/>
      <c r="N13" s="12"/>
      <c r="O13" s="12"/>
    </row>
    <row r="14" spans="1:18" s="8" customFormat="1" ht="19.5" customHeight="1">
      <c r="A14" s="9">
        <v>11210419</v>
      </c>
      <c r="B14" s="10" t="s">
        <v>86</v>
      </c>
      <c r="C14" s="10" t="s">
        <v>50</v>
      </c>
      <c r="D14" s="10" t="s">
        <v>46</v>
      </c>
      <c r="E14" s="11">
        <v>44409</v>
      </c>
      <c r="F14" s="10" t="s">
        <v>51</v>
      </c>
      <c r="G14" s="10" t="s">
        <v>87</v>
      </c>
      <c r="H14" s="10" t="s">
        <v>88</v>
      </c>
      <c r="K14" s="12"/>
      <c r="L14" s="12"/>
      <c r="M14" s="12"/>
      <c r="N14" s="12"/>
      <c r="O14" s="12"/>
    </row>
    <row r="15" spans="1:18" s="8" customFormat="1" ht="19.5" customHeight="1">
      <c r="A15" s="9">
        <v>8609992</v>
      </c>
      <c r="B15" s="10" t="s">
        <v>89</v>
      </c>
      <c r="C15" s="10" t="s">
        <v>50</v>
      </c>
      <c r="D15" s="10" t="s">
        <v>55</v>
      </c>
      <c r="E15" s="11">
        <v>45520</v>
      </c>
      <c r="F15" s="10" t="s">
        <v>51</v>
      </c>
      <c r="G15" s="10" t="s">
        <v>90</v>
      </c>
      <c r="H15" s="10"/>
      <c r="K15" s="12"/>
      <c r="L15" s="12"/>
      <c r="M15" s="12"/>
      <c r="N15" s="12"/>
      <c r="O15" s="12"/>
    </row>
    <row r="16" spans="1:18" s="8" customFormat="1" ht="19.5" customHeight="1">
      <c r="A16" s="9">
        <v>10298957</v>
      </c>
      <c r="B16" s="10" t="s">
        <v>91</v>
      </c>
      <c r="C16" s="10" t="s">
        <v>50</v>
      </c>
      <c r="D16" s="10" t="s">
        <v>55</v>
      </c>
      <c r="E16" s="11">
        <v>43264</v>
      </c>
      <c r="F16" s="10" t="s">
        <v>51</v>
      </c>
      <c r="G16" s="10" t="s">
        <v>92</v>
      </c>
      <c r="H16" s="10" t="s">
        <v>93</v>
      </c>
      <c r="K16" s="12"/>
      <c r="L16" s="12"/>
      <c r="M16" s="12"/>
      <c r="N16" s="12"/>
      <c r="O16" s="12"/>
    </row>
    <row r="17" spans="1:15" s="8" customFormat="1" ht="19.5" customHeight="1">
      <c r="A17" s="9">
        <v>9600730</v>
      </c>
      <c r="B17" s="10" t="s">
        <v>94</v>
      </c>
      <c r="C17" s="10" t="s">
        <v>50</v>
      </c>
      <c r="D17" s="10" t="s">
        <v>95</v>
      </c>
      <c r="E17" s="11">
        <v>42508</v>
      </c>
      <c r="F17" s="10" t="s">
        <v>51</v>
      </c>
      <c r="G17" s="10" t="s">
        <v>96</v>
      </c>
      <c r="H17" s="10" t="s">
        <v>97</v>
      </c>
      <c r="K17" s="12"/>
      <c r="L17" s="12"/>
      <c r="M17" s="12"/>
      <c r="N17" s="12"/>
      <c r="O17" s="12"/>
    </row>
    <row r="18" spans="1:15" s="8" customFormat="1" ht="19.5" customHeight="1">
      <c r="A18" s="9">
        <v>12300493</v>
      </c>
      <c r="B18" s="10" t="s">
        <v>98</v>
      </c>
      <c r="C18" s="10" t="s">
        <v>70</v>
      </c>
      <c r="D18" s="10" t="s">
        <v>66</v>
      </c>
      <c r="E18" s="11">
        <v>45748</v>
      </c>
      <c r="F18" s="10" t="s">
        <v>47</v>
      </c>
      <c r="G18" s="10" t="s">
        <v>99</v>
      </c>
      <c r="H18" s="10" t="s">
        <v>100</v>
      </c>
      <c r="K18" s="12"/>
      <c r="L18" s="12"/>
      <c r="M18" s="12"/>
      <c r="N18" s="12"/>
      <c r="O18" s="12"/>
    </row>
    <row r="19" spans="1:15" s="8" customFormat="1" ht="19.5" customHeight="1">
      <c r="A19" s="9">
        <v>10298995</v>
      </c>
      <c r="B19" s="10" t="s">
        <v>101</v>
      </c>
      <c r="C19" s="10" t="s">
        <v>50</v>
      </c>
      <c r="D19" s="10" t="s">
        <v>66</v>
      </c>
      <c r="E19" s="11">
        <v>43264</v>
      </c>
      <c r="F19" s="10" t="s">
        <v>51</v>
      </c>
      <c r="G19" s="10" t="s">
        <v>102</v>
      </c>
      <c r="H19" s="10" t="s">
        <v>103</v>
      </c>
      <c r="K19" s="12"/>
      <c r="L19" s="12"/>
      <c r="M19" s="12"/>
      <c r="N19" s="12"/>
      <c r="O19" s="12"/>
    </row>
    <row r="20" spans="1:15" s="8" customFormat="1" ht="19.5" customHeight="1">
      <c r="A20" s="9">
        <v>10966814</v>
      </c>
      <c r="B20" s="10" t="s">
        <v>104</v>
      </c>
      <c r="C20" s="10" t="s">
        <v>70</v>
      </c>
      <c r="D20" s="10" t="s">
        <v>46</v>
      </c>
      <c r="E20" s="11">
        <v>44056</v>
      </c>
      <c r="F20" s="10" t="s">
        <v>47</v>
      </c>
      <c r="G20" s="10" t="s">
        <v>105</v>
      </c>
      <c r="H20" s="10"/>
      <c r="K20" s="12"/>
      <c r="L20" s="12"/>
      <c r="M20" s="12"/>
      <c r="N20" s="12"/>
      <c r="O20" s="12"/>
    </row>
    <row r="21" spans="1:15" s="8" customFormat="1" ht="19.5" customHeight="1">
      <c r="A21" s="9">
        <v>9627379</v>
      </c>
      <c r="B21" s="10" t="s">
        <v>106</v>
      </c>
      <c r="C21" s="10" t="s">
        <v>50</v>
      </c>
      <c r="D21" s="10" t="s">
        <v>66</v>
      </c>
      <c r="E21" s="11">
        <v>44378</v>
      </c>
      <c r="F21" s="10" t="s">
        <v>47</v>
      </c>
      <c r="G21" s="10" t="s">
        <v>107</v>
      </c>
      <c r="H21" s="10"/>
      <c r="K21" s="12"/>
      <c r="L21" s="12"/>
      <c r="M21" s="12"/>
      <c r="N21" s="12"/>
      <c r="O21" s="12"/>
    </row>
    <row r="22" spans="1:15" s="8" customFormat="1" ht="19.5" customHeight="1">
      <c r="A22" s="9">
        <v>9322679</v>
      </c>
      <c r="B22" s="10" t="s">
        <v>108</v>
      </c>
      <c r="C22" s="10" t="s">
        <v>50</v>
      </c>
      <c r="D22" s="10" t="s">
        <v>46</v>
      </c>
      <c r="E22" s="11">
        <v>42193</v>
      </c>
      <c r="F22" s="10" t="s">
        <v>51</v>
      </c>
      <c r="G22" s="10" t="s">
        <v>109</v>
      </c>
      <c r="H22" s="10" t="s">
        <v>110</v>
      </c>
      <c r="K22" s="12"/>
      <c r="L22" s="12"/>
      <c r="M22" s="12"/>
      <c r="N22" s="12"/>
      <c r="O22" s="12"/>
    </row>
    <row r="23" spans="1:15" s="8" customFormat="1" ht="19.5" customHeight="1">
      <c r="A23" s="9">
        <v>9326313</v>
      </c>
      <c r="B23" s="10" t="s">
        <v>111</v>
      </c>
      <c r="C23" s="10" t="s">
        <v>70</v>
      </c>
      <c r="D23" s="10" t="s">
        <v>46</v>
      </c>
      <c r="E23" s="11">
        <v>45436</v>
      </c>
      <c r="F23" s="10" t="s">
        <v>51</v>
      </c>
      <c r="G23" s="10" t="s">
        <v>112</v>
      </c>
      <c r="H23" s="10" t="s">
        <v>113</v>
      </c>
      <c r="K23" s="12"/>
      <c r="L23" s="12"/>
      <c r="M23" s="12"/>
      <c r="N23" s="12"/>
      <c r="O23" s="12"/>
    </row>
    <row r="24" spans="1:15" s="8" customFormat="1" ht="19.5" customHeight="1">
      <c r="A24" s="9">
        <v>10827422</v>
      </c>
      <c r="B24" s="10" t="s">
        <v>114</v>
      </c>
      <c r="C24" s="10" t="s">
        <v>70</v>
      </c>
      <c r="D24" s="10" t="s">
        <v>62</v>
      </c>
      <c r="E24" s="11">
        <v>43896</v>
      </c>
      <c r="F24" s="10" t="s">
        <v>47</v>
      </c>
      <c r="G24" s="10"/>
      <c r="H24" s="10"/>
      <c r="K24" s="12"/>
      <c r="L24" s="12"/>
      <c r="M24" s="12"/>
      <c r="N24" s="12"/>
      <c r="O24" s="12"/>
    </row>
    <row r="25" spans="1:15" s="8" customFormat="1" ht="19.5" customHeight="1">
      <c r="A25" s="9">
        <v>10940408</v>
      </c>
      <c r="B25" s="10" t="s">
        <v>115</v>
      </c>
      <c r="C25" s="10" t="s">
        <v>45</v>
      </c>
      <c r="D25" s="10" t="s">
        <v>62</v>
      </c>
      <c r="E25" s="11">
        <v>41105</v>
      </c>
      <c r="F25" s="10" t="s">
        <v>47</v>
      </c>
      <c r="G25" s="10"/>
      <c r="H25" s="10"/>
      <c r="K25" s="12"/>
      <c r="L25" s="12"/>
      <c r="M25" s="12"/>
      <c r="N25" s="12"/>
      <c r="O25" s="12"/>
    </row>
    <row r="26" spans="1:15" s="8" customFormat="1" ht="19.5" customHeight="1">
      <c r="A26" s="9">
        <v>8214328</v>
      </c>
      <c r="B26" s="10" t="s">
        <v>116</v>
      </c>
      <c r="C26" s="10" t="s">
        <v>50</v>
      </c>
      <c r="D26" s="10" t="s">
        <v>117</v>
      </c>
      <c r="E26" s="11">
        <v>40359</v>
      </c>
      <c r="F26" s="10" t="s">
        <v>51</v>
      </c>
      <c r="G26" s="10" t="s">
        <v>118</v>
      </c>
      <c r="H26" s="10" t="s">
        <v>119</v>
      </c>
      <c r="K26" s="12"/>
      <c r="L26" s="12"/>
      <c r="M26" s="12"/>
      <c r="N26" s="12"/>
      <c r="O26" s="12"/>
    </row>
    <row r="27" spans="1:15" s="8" customFormat="1" ht="19.5" customHeight="1">
      <c r="A27" s="9">
        <v>10298988</v>
      </c>
      <c r="B27" s="10" t="s">
        <v>120</v>
      </c>
      <c r="C27" s="10" t="s">
        <v>50</v>
      </c>
      <c r="D27" s="10" t="s">
        <v>62</v>
      </c>
      <c r="E27" s="11">
        <v>43264</v>
      </c>
      <c r="F27" s="10" t="s">
        <v>51</v>
      </c>
      <c r="G27" s="10" t="s">
        <v>121</v>
      </c>
      <c r="H27" s="10"/>
      <c r="K27" s="12"/>
      <c r="L27" s="12"/>
      <c r="M27" s="12"/>
      <c r="N27" s="12"/>
      <c r="O27" s="12"/>
    </row>
    <row r="28" spans="1:15" s="8" customFormat="1" ht="19.5" customHeight="1">
      <c r="A28" s="9">
        <v>3350066</v>
      </c>
      <c r="B28" s="10" t="s">
        <v>122</v>
      </c>
      <c r="C28" s="10" t="s">
        <v>50</v>
      </c>
      <c r="D28" s="10" t="s">
        <v>117</v>
      </c>
      <c r="E28" s="11">
        <v>44006</v>
      </c>
      <c r="F28" s="10" t="s">
        <v>51</v>
      </c>
      <c r="G28" s="10" t="s">
        <v>123</v>
      </c>
      <c r="H28" s="10" t="s">
        <v>124</v>
      </c>
      <c r="K28" s="12"/>
      <c r="L28" s="12"/>
      <c r="M28" s="12"/>
      <c r="N28" s="12"/>
      <c r="O28" s="12"/>
    </row>
    <row r="29" spans="1:15" s="8" customFormat="1" ht="19.5" customHeight="1">
      <c r="A29" s="9">
        <v>11210412</v>
      </c>
      <c r="B29" s="10" t="s">
        <v>125</v>
      </c>
      <c r="C29" s="10" t="s">
        <v>70</v>
      </c>
      <c r="D29" s="10" t="s">
        <v>117</v>
      </c>
      <c r="E29" s="11">
        <v>44409</v>
      </c>
      <c r="F29" s="10" t="s">
        <v>51</v>
      </c>
      <c r="G29" s="10" t="s">
        <v>126</v>
      </c>
      <c r="H29" s="10" t="s">
        <v>127</v>
      </c>
      <c r="K29" s="12"/>
      <c r="L29" s="12"/>
      <c r="M29" s="12"/>
      <c r="N29" s="12"/>
      <c r="O29" s="12"/>
    </row>
    <row r="30" spans="1:15" s="8" customFormat="1" ht="19.5" customHeight="1">
      <c r="A30" s="9">
        <v>12214799</v>
      </c>
      <c r="B30" s="10" t="s">
        <v>128</v>
      </c>
      <c r="C30" s="10" t="s">
        <v>50</v>
      </c>
      <c r="D30" s="10" t="s">
        <v>66</v>
      </c>
      <c r="E30" s="11">
        <v>45604</v>
      </c>
      <c r="F30" s="10" t="s">
        <v>51</v>
      </c>
      <c r="G30" s="10" t="s">
        <v>129</v>
      </c>
      <c r="H30" s="10" t="s">
        <v>130</v>
      </c>
      <c r="K30" s="13"/>
      <c r="L30" s="13"/>
      <c r="M30" s="13"/>
      <c r="N30" s="13"/>
      <c r="O30" s="13"/>
    </row>
    <row r="31" spans="1:15" s="8" customFormat="1" ht="19.5" customHeight="1">
      <c r="A31" s="9">
        <v>8119900</v>
      </c>
      <c r="B31" s="10" t="s">
        <v>131</v>
      </c>
      <c r="C31" s="10" t="s">
        <v>50</v>
      </c>
      <c r="D31" s="10" t="s">
        <v>46</v>
      </c>
      <c r="E31" s="11">
        <v>45379</v>
      </c>
      <c r="F31" s="10" t="s">
        <v>51</v>
      </c>
      <c r="G31" s="10" t="s">
        <v>132</v>
      </c>
      <c r="H31" s="10" t="s">
        <v>133</v>
      </c>
      <c r="K31" s="14"/>
      <c r="L31" s="14"/>
      <c r="M31" s="14"/>
      <c r="N31" s="14"/>
      <c r="O31" s="14"/>
    </row>
    <row r="32" spans="1:15" s="8" customFormat="1" ht="19.5" customHeight="1">
      <c r="A32" s="9">
        <v>10406678</v>
      </c>
      <c r="B32" s="10" t="s">
        <v>134</v>
      </c>
      <c r="C32" s="10" t="s">
        <v>50</v>
      </c>
      <c r="D32" s="10" t="s">
        <v>66</v>
      </c>
      <c r="E32" s="11">
        <v>45336</v>
      </c>
      <c r="F32" s="10" t="s">
        <v>51</v>
      </c>
      <c r="G32" s="10" t="s">
        <v>135</v>
      </c>
      <c r="H32" s="10"/>
      <c r="K32" s="14"/>
      <c r="L32" s="14"/>
      <c r="M32" s="14"/>
      <c r="N32" s="14"/>
      <c r="O32" s="14"/>
    </row>
    <row r="33" spans="1:15" s="8" customFormat="1" ht="19.5" customHeight="1">
      <c r="A33" s="9">
        <v>10908625</v>
      </c>
      <c r="B33" s="10" t="s">
        <v>136</v>
      </c>
      <c r="C33" s="10" t="s">
        <v>50</v>
      </c>
      <c r="D33" s="10" t="s">
        <v>62</v>
      </c>
      <c r="E33" s="11">
        <v>43983</v>
      </c>
      <c r="F33" s="10" t="s">
        <v>47</v>
      </c>
      <c r="G33" s="10"/>
      <c r="H33" s="10"/>
      <c r="K33" s="14"/>
      <c r="L33" s="14"/>
      <c r="M33" s="14"/>
      <c r="N33" s="14"/>
      <c r="O33" s="14"/>
    </row>
    <row r="34" spans="1:15" s="8" customFormat="1" ht="19.5" customHeight="1">
      <c r="A34" s="9">
        <v>5978850</v>
      </c>
      <c r="B34" s="10" t="s">
        <v>137</v>
      </c>
      <c r="C34" s="10" t="s">
        <v>50</v>
      </c>
      <c r="D34" s="10" t="s">
        <v>62</v>
      </c>
      <c r="E34" s="11">
        <v>39330</v>
      </c>
      <c r="F34" s="10" t="s">
        <v>51</v>
      </c>
      <c r="G34" s="10" t="s">
        <v>138</v>
      </c>
      <c r="H34" s="10" t="s">
        <v>139</v>
      </c>
      <c r="K34" s="14"/>
      <c r="L34" s="14"/>
      <c r="M34" s="14"/>
      <c r="N34" s="14"/>
      <c r="O34" s="14"/>
    </row>
    <row r="35" spans="1:15" s="8" customFormat="1" ht="19.5" customHeight="1">
      <c r="A35" s="9">
        <v>11553763</v>
      </c>
      <c r="B35" s="10" t="s">
        <v>140</v>
      </c>
      <c r="C35" s="10" t="s">
        <v>50</v>
      </c>
      <c r="D35" s="10" t="s">
        <v>117</v>
      </c>
      <c r="E35" s="11">
        <v>44789</v>
      </c>
      <c r="F35" s="10" t="s">
        <v>47</v>
      </c>
      <c r="G35" s="10" t="s">
        <v>141</v>
      </c>
      <c r="H35" s="10" t="s">
        <v>142</v>
      </c>
      <c r="K35" s="14"/>
      <c r="L35" s="14"/>
      <c r="M35" s="14"/>
      <c r="N35" s="14"/>
      <c r="O35" s="14"/>
    </row>
    <row r="36" spans="1:15" s="8" customFormat="1" ht="19.5" customHeight="1">
      <c r="A36" s="9">
        <v>11789085</v>
      </c>
      <c r="B36" s="10" t="s">
        <v>143</v>
      </c>
      <c r="C36" s="10" t="s">
        <v>70</v>
      </c>
      <c r="D36" s="10" t="s">
        <v>46</v>
      </c>
      <c r="E36" s="11">
        <v>45078</v>
      </c>
      <c r="F36" s="10" t="s">
        <v>47</v>
      </c>
      <c r="G36" s="10" t="s">
        <v>144</v>
      </c>
      <c r="H36" s="10" t="s">
        <v>145</v>
      </c>
      <c r="K36" s="14"/>
      <c r="L36" s="14"/>
      <c r="M36" s="14"/>
      <c r="N36" s="14"/>
      <c r="O36" s="14"/>
    </row>
    <row r="37" spans="1:15" s="8" customFormat="1" ht="19.5" customHeight="1">
      <c r="A37" s="9">
        <v>8098718</v>
      </c>
      <c r="B37" s="10" t="s">
        <v>146</v>
      </c>
      <c r="C37" s="10" t="s">
        <v>70</v>
      </c>
      <c r="D37" s="10" t="s">
        <v>55</v>
      </c>
      <c r="E37" s="11">
        <v>45336</v>
      </c>
      <c r="F37" s="10" t="s">
        <v>51</v>
      </c>
      <c r="G37" s="10" t="s">
        <v>147</v>
      </c>
      <c r="H37" s="10" t="s">
        <v>148</v>
      </c>
      <c r="K37" s="14"/>
      <c r="L37" s="14"/>
      <c r="M37" s="14"/>
      <c r="N37" s="14"/>
      <c r="O37" s="14"/>
    </row>
    <row r="38" spans="1:15" s="8" customFormat="1" ht="19.5" customHeight="1">
      <c r="A38" s="9">
        <v>3349942</v>
      </c>
      <c r="B38" s="10" t="s">
        <v>149</v>
      </c>
      <c r="C38" s="10" t="s">
        <v>50</v>
      </c>
      <c r="D38" s="10" t="s">
        <v>62</v>
      </c>
      <c r="E38" s="11">
        <v>39820</v>
      </c>
      <c r="F38" s="10" t="s">
        <v>47</v>
      </c>
      <c r="G38" s="10" t="s">
        <v>150</v>
      </c>
      <c r="H38" s="10"/>
      <c r="K38" s="14"/>
      <c r="L38" s="14"/>
      <c r="M38" s="14"/>
      <c r="N38" s="14"/>
      <c r="O38" s="14"/>
    </row>
    <row r="39" spans="1:15" s="8" customFormat="1" ht="19.5" customHeight="1">
      <c r="A39" s="9">
        <v>10994233</v>
      </c>
      <c r="B39" s="10" t="s">
        <v>151</v>
      </c>
      <c r="C39" s="10" t="s">
        <v>70</v>
      </c>
      <c r="D39" s="10" t="s">
        <v>152</v>
      </c>
      <c r="E39" s="11">
        <v>45486</v>
      </c>
      <c r="F39" s="10" t="s">
        <v>51</v>
      </c>
      <c r="G39" s="10" t="s">
        <v>153</v>
      </c>
      <c r="H39" s="10" t="s">
        <v>154</v>
      </c>
      <c r="K39" s="14"/>
      <c r="L39" s="14"/>
      <c r="M39" s="14"/>
      <c r="N39" s="14"/>
      <c r="O39" s="14"/>
    </row>
    <row r="40" spans="1:15" s="8" customFormat="1" ht="19.5" customHeight="1">
      <c r="A40" s="9">
        <v>3350010</v>
      </c>
      <c r="B40" s="10" t="s">
        <v>155</v>
      </c>
      <c r="C40" s="10" t="s">
        <v>50</v>
      </c>
      <c r="D40" s="10" t="s">
        <v>62</v>
      </c>
      <c r="E40" s="11">
        <v>35886</v>
      </c>
      <c r="F40" s="10" t="s">
        <v>47</v>
      </c>
      <c r="G40" s="10" t="s">
        <v>156</v>
      </c>
      <c r="H40" s="10" t="s">
        <v>157</v>
      </c>
      <c r="K40" s="14"/>
      <c r="L40" s="14"/>
      <c r="M40" s="14"/>
      <c r="N40" s="14"/>
      <c r="O40" s="14"/>
    </row>
    <row r="41" spans="1:15" s="8" customFormat="1" ht="19.5" customHeight="1">
      <c r="A41" s="9">
        <v>3349785</v>
      </c>
      <c r="B41" s="10" t="s">
        <v>158</v>
      </c>
      <c r="C41" s="10" t="s">
        <v>50</v>
      </c>
      <c r="D41" s="10" t="s">
        <v>117</v>
      </c>
      <c r="E41" s="11">
        <v>44409</v>
      </c>
      <c r="F41" s="10" t="s">
        <v>47</v>
      </c>
      <c r="G41" s="10" t="s">
        <v>159</v>
      </c>
      <c r="H41" s="10" t="s">
        <v>160</v>
      </c>
      <c r="K41" s="14"/>
      <c r="L41" s="14"/>
      <c r="M41" s="14"/>
      <c r="N41" s="14"/>
      <c r="O41" s="14"/>
    </row>
    <row r="42" spans="1:15" s="8" customFormat="1" ht="19.5" customHeight="1">
      <c r="A42" s="9">
        <v>12300491</v>
      </c>
      <c r="B42" s="10" t="s">
        <v>161</v>
      </c>
      <c r="C42" s="10" t="s">
        <v>70</v>
      </c>
      <c r="D42" s="10" t="s">
        <v>66</v>
      </c>
      <c r="E42" s="11">
        <v>45748</v>
      </c>
      <c r="F42" s="10" t="s">
        <v>51</v>
      </c>
      <c r="G42" s="10" t="s">
        <v>162</v>
      </c>
      <c r="H42" s="10" t="s">
        <v>163</v>
      </c>
      <c r="K42" s="14"/>
      <c r="L42" s="14"/>
      <c r="M42" s="14"/>
      <c r="N42" s="14"/>
      <c r="O42" s="14"/>
    </row>
    <row r="43" spans="1:15" s="8" customFormat="1" ht="19.5" customHeight="1">
      <c r="A43" s="9">
        <v>11789199</v>
      </c>
      <c r="B43" s="10" t="s">
        <v>164</v>
      </c>
      <c r="C43" s="10" t="s">
        <v>50</v>
      </c>
      <c r="D43" s="10" t="s">
        <v>55</v>
      </c>
      <c r="E43" s="11">
        <v>45103</v>
      </c>
      <c r="F43" s="10" t="s">
        <v>47</v>
      </c>
      <c r="G43" s="10" t="s">
        <v>165</v>
      </c>
      <c r="H43" s="10" t="s">
        <v>166</v>
      </c>
      <c r="K43" s="14"/>
      <c r="L43" s="14"/>
      <c r="M43" s="14"/>
      <c r="N43" s="14"/>
      <c r="O43" s="14"/>
    </row>
    <row r="44" spans="1:15" s="8" customFormat="1" ht="19.5" customHeight="1">
      <c r="A44" s="9">
        <v>9322724</v>
      </c>
      <c r="B44" s="10" t="s">
        <v>167</v>
      </c>
      <c r="C44" s="10" t="s">
        <v>50</v>
      </c>
      <c r="D44" s="10" t="s">
        <v>62</v>
      </c>
      <c r="E44" s="11">
        <v>42193</v>
      </c>
      <c r="F44" s="10" t="s">
        <v>51</v>
      </c>
      <c r="G44" s="10" t="s">
        <v>168</v>
      </c>
      <c r="H44" s="10" t="s">
        <v>169</v>
      </c>
      <c r="K44" s="14"/>
      <c r="L44" s="14"/>
      <c r="M44" s="14"/>
      <c r="N44" s="14"/>
      <c r="O44" s="14"/>
    </row>
    <row r="45" spans="1:15" s="8" customFormat="1" ht="19.5" customHeight="1">
      <c r="A45" s="9">
        <v>8098725</v>
      </c>
      <c r="B45" s="10" t="s">
        <v>170</v>
      </c>
      <c r="C45" s="10" t="s">
        <v>50</v>
      </c>
      <c r="D45" s="10" t="s">
        <v>55</v>
      </c>
      <c r="E45" s="11">
        <v>40011</v>
      </c>
      <c r="F45" s="10" t="s">
        <v>51</v>
      </c>
      <c r="G45" s="10" t="s">
        <v>171</v>
      </c>
      <c r="H45" s="10" t="s">
        <v>172</v>
      </c>
      <c r="K45" s="14"/>
      <c r="L45" s="14"/>
      <c r="M45" s="14"/>
      <c r="N45" s="14"/>
      <c r="O45" s="14"/>
    </row>
    <row r="46" spans="1:15" s="8" customFormat="1" ht="19.5" customHeight="1">
      <c r="A46" s="9">
        <v>6961187</v>
      </c>
      <c r="B46" s="10" t="s">
        <v>173</v>
      </c>
      <c r="C46" s="10" t="s">
        <v>50</v>
      </c>
      <c r="D46" s="10" t="s">
        <v>62</v>
      </c>
      <c r="E46" s="11">
        <v>39820</v>
      </c>
      <c r="F46" s="10" t="s">
        <v>47</v>
      </c>
      <c r="G46" s="10" t="s">
        <v>174</v>
      </c>
      <c r="H46" s="10" t="s">
        <v>175</v>
      </c>
      <c r="K46" s="14"/>
      <c r="L46" s="14"/>
      <c r="M46" s="14"/>
      <c r="N46" s="14"/>
      <c r="O46" s="14"/>
    </row>
    <row r="47" spans="1:15" s="8" customFormat="1" ht="19.5" customHeight="1">
      <c r="A47" s="9">
        <v>5301205</v>
      </c>
      <c r="B47" s="10" t="s">
        <v>176</v>
      </c>
      <c r="C47" s="10" t="s">
        <v>50</v>
      </c>
      <c r="D47" s="10" t="s">
        <v>95</v>
      </c>
      <c r="E47" s="11">
        <v>44562</v>
      </c>
      <c r="F47" s="10" t="s">
        <v>51</v>
      </c>
      <c r="G47" s="10" t="s">
        <v>177</v>
      </c>
      <c r="H47" s="10" t="s">
        <v>178</v>
      </c>
      <c r="K47" s="14"/>
      <c r="L47" s="14"/>
      <c r="M47" s="14"/>
      <c r="N47" s="14"/>
      <c r="O47" s="14"/>
    </row>
    <row r="48" spans="1:15" s="8" customFormat="1" ht="19.5" customHeight="1">
      <c r="A48" s="9">
        <v>7008722</v>
      </c>
      <c r="B48" s="10" t="s">
        <v>179</v>
      </c>
      <c r="C48" s="10" t="s">
        <v>50</v>
      </c>
      <c r="D48" s="10" t="s">
        <v>46</v>
      </c>
      <c r="E48" s="11">
        <v>39820</v>
      </c>
      <c r="F48" s="10" t="s">
        <v>51</v>
      </c>
      <c r="G48" s="10" t="s">
        <v>180</v>
      </c>
      <c r="H48" s="10" t="s">
        <v>181</v>
      </c>
      <c r="K48" s="14"/>
      <c r="L48" s="14"/>
      <c r="M48" s="14"/>
      <c r="N48" s="14"/>
      <c r="O48" s="14"/>
    </row>
    <row r="49" spans="1:15" s="8" customFormat="1" ht="19.5" customHeight="1">
      <c r="A49" s="9">
        <v>10094170</v>
      </c>
      <c r="B49" s="10" t="s">
        <v>182</v>
      </c>
      <c r="C49" s="10" t="s">
        <v>50</v>
      </c>
      <c r="D49" s="10" t="s">
        <v>46</v>
      </c>
      <c r="E49" s="11">
        <v>43052</v>
      </c>
      <c r="F49" s="10" t="s">
        <v>51</v>
      </c>
      <c r="G49" s="10" t="s">
        <v>183</v>
      </c>
      <c r="H49" s="10" t="s">
        <v>184</v>
      </c>
      <c r="K49" s="14"/>
      <c r="L49" s="14"/>
      <c r="M49" s="14"/>
      <c r="N49" s="14"/>
      <c r="O49" s="14"/>
    </row>
    <row r="50" spans="1:15" s="8" customFormat="1" ht="19.5" customHeight="1">
      <c r="A50" s="9">
        <v>3349778</v>
      </c>
      <c r="B50" s="10" t="s">
        <v>185</v>
      </c>
      <c r="C50" s="10" t="s">
        <v>50</v>
      </c>
      <c r="D50" s="10" t="s">
        <v>62</v>
      </c>
      <c r="E50" s="11">
        <v>35886</v>
      </c>
      <c r="F50" s="10" t="s">
        <v>47</v>
      </c>
      <c r="G50" s="10"/>
      <c r="H50" s="10"/>
      <c r="K50" s="14"/>
      <c r="L50" s="14"/>
      <c r="M50" s="14"/>
      <c r="N50" s="14"/>
      <c r="O50" s="14"/>
    </row>
    <row r="51" spans="1:15" s="8" customFormat="1" ht="19.5" customHeight="1">
      <c r="A51" s="9">
        <v>10908611</v>
      </c>
      <c r="B51" s="10" t="s">
        <v>186</v>
      </c>
      <c r="C51" s="10" t="s">
        <v>50</v>
      </c>
      <c r="D51" s="10" t="s">
        <v>62</v>
      </c>
      <c r="E51" s="11">
        <v>43983</v>
      </c>
      <c r="F51" s="10" t="s">
        <v>51</v>
      </c>
      <c r="G51" s="10" t="s">
        <v>187</v>
      </c>
      <c r="H51" s="10"/>
      <c r="K51" s="14"/>
      <c r="L51" s="14"/>
      <c r="M51" s="14"/>
      <c r="N51" s="14"/>
      <c r="O51" s="14"/>
    </row>
  </sheetData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96D6-66A9-4B42-9C46-D9173EAADE04}">
  <sheetPr>
    <pageSetUpPr fitToPage="1"/>
  </sheetPr>
  <dimension ref="A1:H65"/>
  <sheetViews>
    <sheetView topLeftCell="A47" workbookViewId="0">
      <selection activeCell="I7" sqref="I7"/>
    </sheetView>
  </sheetViews>
  <sheetFormatPr defaultRowHeight="12.75"/>
  <cols>
    <col min="1" max="1" width="3.5703125" bestFit="1" customWidth="1"/>
    <col min="2" max="2" width="24.42578125" bestFit="1" customWidth="1"/>
    <col min="3" max="4" width="10.28515625" customWidth="1"/>
    <col min="5" max="5" width="18" bestFit="1" customWidth="1"/>
    <col min="6" max="6" width="17.7109375" bestFit="1" customWidth="1"/>
    <col min="7" max="7" width="10.28515625" bestFit="1" customWidth="1"/>
  </cols>
  <sheetData>
    <row r="1" spans="1:7" ht="15">
      <c r="B1" s="63" t="s">
        <v>188</v>
      </c>
      <c r="C1" s="63"/>
      <c r="D1" s="63"/>
      <c r="E1" s="63"/>
      <c r="F1" s="63"/>
      <c r="G1" s="63"/>
    </row>
    <row r="2" spans="1:7">
      <c r="A2" s="1" t="s">
        <v>189</v>
      </c>
      <c r="B2" s="36" t="s">
        <v>37</v>
      </c>
      <c r="C2" s="18" t="s">
        <v>190</v>
      </c>
      <c r="D2" s="18" t="s">
        <v>191</v>
      </c>
      <c r="E2" s="18" t="s">
        <v>192</v>
      </c>
      <c r="F2" s="18" t="s">
        <v>6</v>
      </c>
      <c r="G2" s="1" t="s">
        <v>7</v>
      </c>
    </row>
    <row r="3" spans="1:7">
      <c r="A3" s="1">
        <v>1</v>
      </c>
      <c r="B3" s="37" t="s">
        <v>44</v>
      </c>
      <c r="C3" s="1"/>
      <c r="D3" s="41"/>
      <c r="E3" s="1">
        <v>2500</v>
      </c>
      <c r="F3" s="1" t="s">
        <v>193</v>
      </c>
      <c r="G3" s="1"/>
    </row>
    <row r="4" spans="1:7">
      <c r="A4" s="1">
        <f t="shared" ref="A4:A35" si="0">A3+1</f>
        <v>2</v>
      </c>
      <c r="B4" s="37" t="s">
        <v>49</v>
      </c>
      <c r="C4" s="18">
        <v>25000</v>
      </c>
      <c r="D4" s="42"/>
      <c r="E4" s="1"/>
      <c r="F4" s="1" t="s">
        <v>194</v>
      </c>
      <c r="G4" s="1" t="s">
        <v>195</v>
      </c>
    </row>
    <row r="5" spans="1:7">
      <c r="A5" s="1">
        <f t="shared" si="0"/>
        <v>3</v>
      </c>
      <c r="B5" s="37" t="s">
        <v>54</v>
      </c>
      <c r="C5" s="18">
        <v>25000</v>
      </c>
      <c r="D5" s="42"/>
      <c r="E5" s="1">
        <v>2500</v>
      </c>
      <c r="F5" s="1" t="s">
        <v>196</v>
      </c>
      <c r="G5" s="1"/>
    </row>
    <row r="6" spans="1:7">
      <c r="A6" s="1">
        <f t="shared" si="0"/>
        <v>4</v>
      </c>
      <c r="B6" s="37" t="s">
        <v>58</v>
      </c>
      <c r="C6" s="18">
        <v>25000</v>
      </c>
      <c r="D6" s="42">
        <v>3500</v>
      </c>
      <c r="E6" s="1">
        <v>2500</v>
      </c>
      <c r="F6" s="1" t="s">
        <v>197</v>
      </c>
      <c r="G6" s="1" t="s">
        <v>198</v>
      </c>
    </row>
    <row r="7" spans="1:7">
      <c r="A7" s="1">
        <f t="shared" si="0"/>
        <v>5</v>
      </c>
      <c r="B7" s="37" t="s">
        <v>61</v>
      </c>
      <c r="C7" s="18"/>
      <c r="D7" s="42"/>
      <c r="E7" s="1"/>
      <c r="F7" s="1"/>
      <c r="G7" s="1"/>
    </row>
    <row r="8" spans="1:7">
      <c r="A8" s="43">
        <f t="shared" si="0"/>
        <v>6</v>
      </c>
      <c r="B8" s="44" t="s">
        <v>65</v>
      </c>
      <c r="C8" s="40"/>
      <c r="D8" s="40"/>
      <c r="E8" s="43"/>
      <c r="F8" s="43"/>
      <c r="G8" s="43"/>
    </row>
    <row r="9" spans="1:7">
      <c r="A9" s="1">
        <f t="shared" si="0"/>
        <v>7</v>
      </c>
      <c r="B9" s="37" t="s">
        <v>69</v>
      </c>
      <c r="C9" s="18"/>
      <c r="D9" s="42"/>
      <c r="E9" s="1"/>
      <c r="F9" s="1"/>
      <c r="G9" s="1"/>
    </row>
    <row r="10" spans="1:7">
      <c r="A10" s="1">
        <f t="shared" si="0"/>
        <v>8</v>
      </c>
      <c r="B10" s="37" t="s">
        <v>73</v>
      </c>
      <c r="C10" s="18"/>
      <c r="D10" s="42"/>
      <c r="E10" s="1"/>
      <c r="F10" s="1"/>
      <c r="G10" s="1"/>
    </row>
    <row r="11" spans="1:7">
      <c r="A11" s="1">
        <f t="shared" si="0"/>
        <v>9</v>
      </c>
      <c r="B11" s="37" t="s">
        <v>76</v>
      </c>
      <c r="C11" s="18">
        <v>25000</v>
      </c>
      <c r="D11" s="42">
        <v>13000</v>
      </c>
      <c r="E11" s="1">
        <v>7500</v>
      </c>
      <c r="F11" s="1" t="s">
        <v>199</v>
      </c>
      <c r="G11" s="1" t="s">
        <v>200</v>
      </c>
    </row>
    <row r="12" spans="1:7">
      <c r="A12" s="1">
        <f t="shared" si="0"/>
        <v>10</v>
      </c>
      <c r="B12" s="37" t="s">
        <v>79</v>
      </c>
      <c r="C12" s="18">
        <v>25000</v>
      </c>
      <c r="D12" s="42">
        <v>13000</v>
      </c>
      <c r="E12" s="1"/>
      <c r="F12" s="1" t="s">
        <v>199</v>
      </c>
      <c r="G12" s="1" t="s">
        <v>200</v>
      </c>
    </row>
    <row r="13" spans="1:7">
      <c r="A13" s="1">
        <f t="shared" si="0"/>
        <v>11</v>
      </c>
      <c r="B13" s="37" t="s">
        <v>80</v>
      </c>
      <c r="C13" s="18"/>
      <c r="D13" s="42"/>
      <c r="E13" s="1">
        <v>7500</v>
      </c>
      <c r="F13" s="1" t="s">
        <v>199</v>
      </c>
      <c r="G13" s="1"/>
    </row>
    <row r="14" spans="1:7">
      <c r="A14" s="1">
        <f t="shared" si="0"/>
        <v>12</v>
      </c>
      <c r="B14" s="37" t="s">
        <v>83</v>
      </c>
      <c r="C14" s="18"/>
      <c r="D14" s="42"/>
      <c r="E14" s="1">
        <v>2500</v>
      </c>
      <c r="F14" s="1" t="s">
        <v>199</v>
      </c>
      <c r="G14" s="1"/>
    </row>
    <row r="15" spans="1:7">
      <c r="A15" s="1">
        <f t="shared" si="0"/>
        <v>13</v>
      </c>
      <c r="B15" s="37" t="s">
        <v>86</v>
      </c>
      <c r="C15" s="18"/>
      <c r="D15" s="42"/>
      <c r="E15" s="1">
        <v>2500</v>
      </c>
      <c r="F15" s="1" t="s">
        <v>193</v>
      </c>
      <c r="G15" s="1"/>
    </row>
    <row r="16" spans="1:7">
      <c r="A16" s="1">
        <f t="shared" si="0"/>
        <v>14</v>
      </c>
      <c r="B16" s="37" t="s">
        <v>89</v>
      </c>
      <c r="C16" s="18"/>
      <c r="D16" s="42"/>
      <c r="E16" s="1"/>
      <c r="F16" s="1"/>
      <c r="G16" s="1"/>
    </row>
    <row r="17" spans="1:8">
      <c r="A17" s="1">
        <f t="shared" si="0"/>
        <v>15</v>
      </c>
      <c r="B17" s="37" t="s">
        <v>91</v>
      </c>
      <c r="C17" s="18"/>
      <c r="D17" s="42"/>
      <c r="E17" s="1">
        <v>2500</v>
      </c>
      <c r="F17" s="1"/>
      <c r="G17" s="1"/>
    </row>
    <row r="18" spans="1:8">
      <c r="A18" s="1">
        <f t="shared" si="0"/>
        <v>16</v>
      </c>
      <c r="B18" s="37" t="s">
        <v>94</v>
      </c>
      <c r="C18" s="18"/>
      <c r="D18" s="42"/>
      <c r="E18" s="1">
        <v>2500</v>
      </c>
      <c r="F18" s="1"/>
      <c r="G18" s="1"/>
    </row>
    <row r="19" spans="1:8">
      <c r="A19" s="1">
        <f t="shared" si="0"/>
        <v>17</v>
      </c>
      <c r="B19" s="37" t="s">
        <v>98</v>
      </c>
      <c r="C19" s="18">
        <v>25000</v>
      </c>
      <c r="D19" s="42">
        <v>3500</v>
      </c>
      <c r="E19" s="1">
        <v>2500</v>
      </c>
      <c r="F19" s="1" t="s">
        <v>201</v>
      </c>
      <c r="G19" s="1" t="s">
        <v>202</v>
      </c>
    </row>
    <row r="20" spans="1:8">
      <c r="A20" s="43">
        <f t="shared" si="0"/>
        <v>18</v>
      </c>
      <c r="B20" s="44" t="s">
        <v>101</v>
      </c>
      <c r="C20" s="40"/>
      <c r="D20" s="40"/>
      <c r="E20" s="43"/>
      <c r="F20" s="43"/>
      <c r="G20" s="43"/>
      <c r="H20">
        <v>4</v>
      </c>
    </row>
    <row r="21" spans="1:8">
      <c r="A21" s="1">
        <f t="shared" si="0"/>
        <v>19</v>
      </c>
      <c r="B21" s="37" t="s">
        <v>104</v>
      </c>
      <c r="C21" s="18"/>
      <c r="D21" s="42"/>
      <c r="E21" s="1"/>
      <c r="F21" s="1"/>
      <c r="G21" s="1"/>
    </row>
    <row r="22" spans="1:8">
      <c r="A22" s="1">
        <f t="shared" si="0"/>
        <v>20</v>
      </c>
      <c r="B22" s="37" t="s">
        <v>106</v>
      </c>
      <c r="C22" s="18"/>
      <c r="D22" s="42"/>
      <c r="E22" s="1"/>
      <c r="F22" s="1"/>
      <c r="G22" s="1"/>
    </row>
    <row r="23" spans="1:8">
      <c r="A23" s="1">
        <f t="shared" si="0"/>
        <v>21</v>
      </c>
      <c r="B23" s="37" t="s">
        <v>108</v>
      </c>
      <c r="C23" s="18"/>
      <c r="D23" s="42"/>
      <c r="E23" s="1">
        <v>2500</v>
      </c>
      <c r="F23" s="1"/>
      <c r="G23" s="1"/>
    </row>
    <row r="24" spans="1:8">
      <c r="A24" s="1">
        <f t="shared" si="0"/>
        <v>22</v>
      </c>
      <c r="B24" s="37" t="s">
        <v>111</v>
      </c>
      <c r="C24" s="18"/>
      <c r="D24" s="42"/>
      <c r="E24" s="1"/>
      <c r="F24" s="1"/>
      <c r="G24" s="1"/>
    </row>
    <row r="25" spans="1:8">
      <c r="A25" s="1">
        <f t="shared" si="0"/>
        <v>23</v>
      </c>
      <c r="B25" s="37" t="s">
        <v>114</v>
      </c>
      <c r="C25" s="18"/>
      <c r="D25" s="42"/>
      <c r="E25" s="1"/>
      <c r="F25" s="1"/>
      <c r="G25" s="1"/>
    </row>
    <row r="26" spans="1:8">
      <c r="A26" s="1">
        <f t="shared" si="0"/>
        <v>24</v>
      </c>
      <c r="B26" s="37" t="s">
        <v>115</v>
      </c>
      <c r="C26" s="18"/>
      <c r="D26" s="42"/>
      <c r="E26" s="1"/>
      <c r="F26" s="1"/>
      <c r="G26" s="1"/>
    </row>
    <row r="27" spans="1:8">
      <c r="A27" s="1">
        <f t="shared" si="0"/>
        <v>25</v>
      </c>
      <c r="B27" s="37" t="s">
        <v>116</v>
      </c>
      <c r="C27" s="18"/>
      <c r="D27" s="42"/>
      <c r="E27" s="1">
        <v>10000</v>
      </c>
      <c r="F27" s="1"/>
      <c r="G27" s="1"/>
    </row>
    <row r="28" spans="1:8">
      <c r="A28" s="1">
        <f t="shared" si="0"/>
        <v>26</v>
      </c>
      <c r="B28" s="37" t="s">
        <v>120</v>
      </c>
      <c r="C28" s="18"/>
      <c r="D28" s="42"/>
      <c r="E28" s="1"/>
      <c r="F28" s="1"/>
      <c r="G28" s="1"/>
    </row>
    <row r="29" spans="1:8">
      <c r="A29" s="1">
        <f t="shared" si="0"/>
        <v>27</v>
      </c>
      <c r="B29" s="37" t="s">
        <v>122</v>
      </c>
      <c r="C29" s="18"/>
      <c r="D29" s="42"/>
      <c r="E29" s="1"/>
      <c r="F29" s="1"/>
      <c r="G29" s="1"/>
    </row>
    <row r="30" spans="1:8">
      <c r="A30" s="1">
        <f t="shared" si="0"/>
        <v>28</v>
      </c>
      <c r="B30" s="37" t="s">
        <v>125</v>
      </c>
      <c r="C30" s="18"/>
      <c r="D30" s="42"/>
      <c r="E30" s="1"/>
      <c r="F30" s="1"/>
      <c r="G30" s="1"/>
    </row>
    <row r="31" spans="1:8">
      <c r="A31" s="1">
        <f t="shared" si="0"/>
        <v>29</v>
      </c>
      <c r="B31" s="37" t="s">
        <v>128</v>
      </c>
      <c r="C31" s="18"/>
      <c r="D31" s="42"/>
      <c r="E31" s="1">
        <v>2500</v>
      </c>
      <c r="F31" s="1"/>
      <c r="G31" s="1"/>
    </row>
    <row r="32" spans="1:8">
      <c r="A32" s="1">
        <f t="shared" si="0"/>
        <v>30</v>
      </c>
      <c r="B32" s="37" t="s">
        <v>131</v>
      </c>
      <c r="C32" s="18"/>
      <c r="D32" s="42"/>
      <c r="E32" s="1"/>
      <c r="F32" s="1"/>
      <c r="G32" s="1"/>
    </row>
    <row r="33" spans="1:8">
      <c r="A33" s="1">
        <f t="shared" si="0"/>
        <v>31</v>
      </c>
      <c r="B33" s="37" t="s">
        <v>134</v>
      </c>
      <c r="C33" s="18"/>
      <c r="D33" s="42"/>
      <c r="E33" s="1">
        <v>2500</v>
      </c>
      <c r="F33" s="1"/>
      <c r="G33" s="1"/>
    </row>
    <row r="34" spans="1:8">
      <c r="A34" s="1">
        <f t="shared" si="0"/>
        <v>32</v>
      </c>
      <c r="B34" s="37" t="s">
        <v>136</v>
      </c>
      <c r="C34" s="18">
        <v>25000</v>
      </c>
      <c r="D34" s="42">
        <v>3500</v>
      </c>
      <c r="E34" s="1">
        <v>2500</v>
      </c>
      <c r="F34" s="1" t="s">
        <v>201</v>
      </c>
      <c r="G34" s="1" t="s">
        <v>198</v>
      </c>
    </row>
    <row r="35" spans="1:8">
      <c r="A35" s="1">
        <f t="shared" si="0"/>
        <v>33</v>
      </c>
      <c r="B35" s="37" t="s">
        <v>137</v>
      </c>
      <c r="C35" s="18"/>
      <c r="D35" s="42"/>
      <c r="E35" s="1"/>
      <c r="F35" s="1"/>
      <c r="G35" s="1"/>
    </row>
    <row r="36" spans="1:8">
      <c r="A36" s="1">
        <f t="shared" ref="A36:A62" si="1">A35+1</f>
        <v>34</v>
      </c>
      <c r="B36" s="37" t="s">
        <v>140</v>
      </c>
      <c r="C36" s="18"/>
      <c r="D36" s="42"/>
      <c r="E36" s="1"/>
      <c r="F36" s="1"/>
      <c r="G36" s="1"/>
    </row>
    <row r="37" spans="1:8">
      <c r="A37" s="43">
        <f t="shared" si="1"/>
        <v>35</v>
      </c>
      <c r="B37" s="44" t="s">
        <v>143</v>
      </c>
      <c r="C37" s="40"/>
      <c r="D37" s="40"/>
      <c r="E37" s="43"/>
      <c r="F37" s="43"/>
      <c r="G37" s="43"/>
      <c r="H37">
        <v>2</v>
      </c>
    </row>
    <row r="38" spans="1:8">
      <c r="A38" s="1">
        <f t="shared" si="1"/>
        <v>36</v>
      </c>
      <c r="B38" s="37" t="s">
        <v>146</v>
      </c>
      <c r="C38" s="18"/>
      <c r="D38" s="42"/>
      <c r="E38" s="1"/>
      <c r="F38" s="1"/>
      <c r="G38" s="1"/>
    </row>
    <row r="39" spans="1:8">
      <c r="A39" s="1">
        <f t="shared" si="1"/>
        <v>37</v>
      </c>
      <c r="B39" s="37" t="s">
        <v>149</v>
      </c>
      <c r="C39" s="18"/>
      <c r="D39" s="42"/>
      <c r="E39" s="1"/>
      <c r="F39" s="1"/>
      <c r="G39" s="1"/>
    </row>
    <row r="40" spans="1:8">
      <c r="A40" s="1">
        <f t="shared" si="1"/>
        <v>38</v>
      </c>
      <c r="B40" s="37" t="s">
        <v>151</v>
      </c>
      <c r="C40" s="18">
        <v>13500</v>
      </c>
      <c r="D40" s="42">
        <v>3500</v>
      </c>
      <c r="E40" s="1">
        <v>2500</v>
      </c>
      <c r="F40" s="1" t="s">
        <v>194</v>
      </c>
      <c r="G40" s="1" t="s">
        <v>200</v>
      </c>
    </row>
    <row r="41" spans="1:8">
      <c r="A41" s="1">
        <f t="shared" si="1"/>
        <v>39</v>
      </c>
      <c r="B41" s="37" t="s">
        <v>155</v>
      </c>
      <c r="C41" s="18"/>
      <c r="D41" s="42"/>
      <c r="E41" s="1"/>
      <c r="F41" s="1"/>
      <c r="G41" s="1"/>
    </row>
    <row r="42" spans="1:8">
      <c r="A42" s="1">
        <f t="shared" si="1"/>
        <v>40</v>
      </c>
      <c r="B42" s="37" t="s">
        <v>158</v>
      </c>
      <c r="C42" s="18"/>
      <c r="D42" s="42"/>
      <c r="E42" s="1"/>
      <c r="F42" s="1"/>
      <c r="G42" s="1"/>
    </row>
    <row r="43" spans="1:8">
      <c r="A43" s="1">
        <f t="shared" si="1"/>
        <v>41</v>
      </c>
      <c r="B43" s="37" t="s">
        <v>161</v>
      </c>
      <c r="C43" s="18"/>
      <c r="D43" s="42"/>
      <c r="E43" s="1"/>
      <c r="F43" s="1"/>
      <c r="G43" s="1"/>
    </row>
    <row r="44" spans="1:8">
      <c r="A44" s="1">
        <f t="shared" si="1"/>
        <v>42</v>
      </c>
      <c r="B44" s="37" t="s">
        <v>164</v>
      </c>
      <c r="C44" s="18"/>
      <c r="D44" s="42"/>
      <c r="E44" s="1">
        <v>2500</v>
      </c>
      <c r="F44" s="1"/>
      <c r="G44" s="1"/>
    </row>
    <row r="45" spans="1:8">
      <c r="A45" s="1">
        <f t="shared" si="1"/>
        <v>43</v>
      </c>
      <c r="B45" s="37" t="s">
        <v>167</v>
      </c>
      <c r="C45" s="18"/>
      <c r="D45" s="42"/>
      <c r="E45" s="1">
        <v>2500</v>
      </c>
      <c r="F45" s="1"/>
      <c r="G45" s="1"/>
    </row>
    <row r="46" spans="1:8">
      <c r="A46" s="1">
        <f t="shared" si="1"/>
        <v>44</v>
      </c>
      <c r="B46" s="37" t="s">
        <v>170</v>
      </c>
      <c r="C46" s="18">
        <v>25000</v>
      </c>
      <c r="D46" s="42">
        <v>5000</v>
      </c>
      <c r="E46" s="1">
        <v>5000</v>
      </c>
      <c r="F46" s="1" t="s">
        <v>194</v>
      </c>
      <c r="G46" s="1" t="s">
        <v>200</v>
      </c>
    </row>
    <row r="47" spans="1:8">
      <c r="A47" s="1">
        <f t="shared" si="1"/>
        <v>45</v>
      </c>
      <c r="B47" s="37" t="s">
        <v>173</v>
      </c>
      <c r="C47" s="18"/>
      <c r="D47" s="42"/>
      <c r="E47" s="1"/>
      <c r="F47" s="1"/>
      <c r="G47" s="1"/>
    </row>
    <row r="48" spans="1:8">
      <c r="A48" s="1">
        <f t="shared" si="1"/>
        <v>46</v>
      </c>
      <c r="B48" s="37" t="s">
        <v>176</v>
      </c>
      <c r="C48" s="18">
        <v>12500</v>
      </c>
      <c r="D48" s="42">
        <v>3500</v>
      </c>
      <c r="E48" s="1">
        <v>2500</v>
      </c>
      <c r="F48" s="1"/>
      <c r="G48" s="1"/>
    </row>
    <row r="49" spans="1:7">
      <c r="A49" s="1">
        <f t="shared" si="1"/>
        <v>47</v>
      </c>
      <c r="B49" s="37" t="s">
        <v>179</v>
      </c>
      <c r="C49" s="18">
        <v>25000</v>
      </c>
      <c r="D49" s="42"/>
      <c r="E49" s="1"/>
      <c r="F49" s="1" t="s">
        <v>194</v>
      </c>
      <c r="G49" s="1" t="s">
        <v>200</v>
      </c>
    </row>
    <row r="50" spans="1:7">
      <c r="A50" s="1">
        <f t="shared" si="1"/>
        <v>48</v>
      </c>
      <c r="B50" s="37" t="s">
        <v>182</v>
      </c>
      <c r="C50" s="18"/>
      <c r="D50" s="42"/>
      <c r="E50" s="1">
        <v>5000</v>
      </c>
      <c r="F50" s="1"/>
      <c r="G50" s="1"/>
    </row>
    <row r="51" spans="1:7">
      <c r="A51" s="1">
        <f t="shared" si="1"/>
        <v>49</v>
      </c>
      <c r="B51" s="37" t="s">
        <v>185</v>
      </c>
      <c r="C51" s="18"/>
      <c r="D51" s="42"/>
      <c r="E51" s="1"/>
      <c r="F51" s="1"/>
      <c r="G51" s="1"/>
    </row>
    <row r="52" spans="1:7">
      <c r="A52" s="1">
        <f t="shared" si="1"/>
        <v>50</v>
      </c>
      <c r="B52" s="37" t="s">
        <v>186</v>
      </c>
      <c r="C52" s="18"/>
      <c r="D52" s="42"/>
      <c r="E52" s="1">
        <v>2500</v>
      </c>
      <c r="F52" s="1"/>
      <c r="G52" s="1"/>
    </row>
    <row r="53" spans="1:7">
      <c r="A53" s="41">
        <f t="shared" si="1"/>
        <v>51</v>
      </c>
      <c r="B53" s="41" t="s">
        <v>203</v>
      </c>
      <c r="C53" s="42">
        <v>22500</v>
      </c>
      <c r="D53" s="42"/>
      <c r="E53" s="41"/>
      <c r="F53" s="41"/>
      <c r="G53" s="41"/>
    </row>
    <row r="54" spans="1:7">
      <c r="A54" s="1">
        <f t="shared" si="1"/>
        <v>52</v>
      </c>
      <c r="B54" s="1" t="s">
        <v>204</v>
      </c>
      <c r="C54" s="18"/>
      <c r="D54" s="42"/>
      <c r="E54" s="1">
        <v>2500</v>
      </c>
      <c r="F54" s="1"/>
      <c r="G54" s="1"/>
    </row>
    <row r="55" spans="1:7">
      <c r="A55" s="1">
        <f t="shared" si="1"/>
        <v>53</v>
      </c>
      <c r="B55" s="1" t="s">
        <v>205</v>
      </c>
      <c r="C55" s="18"/>
      <c r="D55" s="42"/>
      <c r="E55" s="1">
        <v>2500</v>
      </c>
      <c r="F55" s="1"/>
      <c r="G55" s="1"/>
    </row>
    <row r="56" spans="1:7">
      <c r="A56" s="1">
        <f t="shared" si="1"/>
        <v>54</v>
      </c>
      <c r="B56" s="1" t="s">
        <v>206</v>
      </c>
      <c r="C56" s="18"/>
      <c r="D56" s="42"/>
      <c r="E56" s="1"/>
      <c r="F56" s="1"/>
      <c r="G56" s="1"/>
    </row>
    <row r="57" spans="1:7">
      <c r="A57" s="1">
        <f t="shared" si="1"/>
        <v>55</v>
      </c>
      <c r="B57" s="1"/>
      <c r="C57" s="18"/>
      <c r="D57" s="42"/>
      <c r="E57" s="1"/>
      <c r="F57" s="1"/>
      <c r="G57" s="1"/>
    </row>
    <row r="58" spans="1:7">
      <c r="A58" s="1">
        <f t="shared" si="1"/>
        <v>56</v>
      </c>
      <c r="B58" s="1"/>
      <c r="C58" s="18"/>
      <c r="D58" s="42"/>
      <c r="E58" s="1"/>
      <c r="F58" s="1"/>
      <c r="G58" s="1"/>
    </row>
    <row r="59" spans="1:7">
      <c r="A59" s="1">
        <f t="shared" si="1"/>
        <v>57</v>
      </c>
      <c r="B59" s="1"/>
      <c r="C59" s="1"/>
      <c r="D59" s="41"/>
      <c r="E59" s="1"/>
      <c r="F59" s="1"/>
      <c r="G59" s="1"/>
    </row>
    <row r="60" spans="1:7">
      <c r="A60" s="1">
        <f t="shared" si="1"/>
        <v>58</v>
      </c>
      <c r="B60" s="1"/>
      <c r="C60" s="1"/>
      <c r="D60" s="41"/>
      <c r="E60" s="1"/>
      <c r="F60" s="1"/>
      <c r="G60" s="1"/>
    </row>
    <row r="61" spans="1:7">
      <c r="A61" s="1">
        <f t="shared" si="1"/>
        <v>59</v>
      </c>
      <c r="B61" s="1"/>
      <c r="C61" s="1"/>
      <c r="D61" s="41"/>
      <c r="E61" s="1"/>
      <c r="F61" s="1"/>
      <c r="G61" s="1"/>
    </row>
    <row r="62" spans="1:7">
      <c r="A62" s="1">
        <f t="shared" si="1"/>
        <v>60</v>
      </c>
      <c r="B62" s="1"/>
      <c r="C62" s="1"/>
      <c r="D62" s="1"/>
      <c r="E62" s="1"/>
      <c r="F62" s="1"/>
      <c r="G62" s="1"/>
    </row>
    <row r="63" spans="1:7">
      <c r="B63" s="34" t="s">
        <v>207</v>
      </c>
      <c r="C63" s="34">
        <f>SUM(C3:C62)</f>
        <v>273500</v>
      </c>
      <c r="D63" s="24">
        <f>SUM(D3:D62)</f>
        <v>48500</v>
      </c>
      <c r="E63" s="24">
        <f>SUM(E3:E62)</f>
        <v>82500</v>
      </c>
      <c r="F63" s="24"/>
      <c r="G63" s="34"/>
    </row>
    <row r="65" spans="3:4">
      <c r="C65" s="45"/>
      <c r="D65" t="s">
        <v>208</v>
      </c>
    </row>
  </sheetData>
  <mergeCells count="1">
    <mergeCell ref="B1:G1"/>
  </mergeCells>
  <pageMargins left="0.7" right="0.7" top="0.75" bottom="0.75" header="0.3" footer="0.3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6AFF-95B2-4B53-B06C-C3E4651F507B}">
  <sheetPr>
    <pageSetUpPr fitToPage="1"/>
  </sheetPr>
  <dimension ref="A1:F51"/>
  <sheetViews>
    <sheetView zoomScaleNormal="60" zoomScaleSheetLayoutView="100" workbookViewId="0">
      <selection activeCell="I12" sqref="I12"/>
    </sheetView>
  </sheetViews>
  <sheetFormatPr defaultRowHeight="12.75"/>
  <cols>
    <col min="1" max="1" width="4.7109375" customWidth="1"/>
    <col min="2" max="2" width="26.7109375" customWidth="1"/>
    <col min="3" max="3" width="13.85546875" bestFit="1" customWidth="1"/>
    <col min="4" max="4" width="16.140625" customWidth="1"/>
    <col min="5" max="5" width="24.28515625" customWidth="1"/>
    <col min="6" max="6" width="10.28515625" bestFit="1" customWidth="1"/>
  </cols>
  <sheetData>
    <row r="1" spans="1:6">
      <c r="A1" s="64" t="s">
        <v>209</v>
      </c>
      <c r="B1" s="64"/>
      <c r="C1" s="64"/>
      <c r="D1" s="64"/>
      <c r="E1" s="64"/>
      <c r="F1" s="64"/>
    </row>
    <row r="2" spans="1:6">
      <c r="A2" s="65" t="s">
        <v>210</v>
      </c>
      <c r="B2" s="65"/>
      <c r="C2" s="65"/>
      <c r="D2" s="65"/>
      <c r="E2" s="65"/>
      <c r="F2" s="65"/>
    </row>
    <row r="3" spans="1:6">
      <c r="A3" s="27" t="s">
        <v>189</v>
      </c>
      <c r="B3" s="27" t="s">
        <v>211</v>
      </c>
      <c r="C3" s="27" t="s">
        <v>212</v>
      </c>
      <c r="D3" s="27" t="s">
        <v>213</v>
      </c>
      <c r="E3" s="27" t="s">
        <v>214</v>
      </c>
      <c r="F3" s="27" t="s">
        <v>215</v>
      </c>
    </row>
    <row r="4" spans="1:6" ht="15">
      <c r="A4" s="38">
        <v>1</v>
      </c>
      <c r="B4" s="38"/>
      <c r="C4" s="38"/>
      <c r="D4" s="38"/>
      <c r="E4" s="38"/>
      <c r="F4" s="38"/>
    </row>
    <row r="5" spans="1:6" ht="15">
      <c r="A5" s="38">
        <f t="shared" ref="A5:A34" si="0">A4+1</f>
        <v>2</v>
      </c>
      <c r="B5" s="38"/>
      <c r="C5" s="38"/>
      <c r="D5" s="38"/>
      <c r="E5" s="38"/>
      <c r="F5" s="38"/>
    </row>
    <row r="6" spans="1:6" ht="15">
      <c r="A6" s="38">
        <f t="shared" si="0"/>
        <v>3</v>
      </c>
      <c r="B6" s="38"/>
      <c r="C6" s="38"/>
      <c r="D6" s="38"/>
      <c r="E6" s="38"/>
      <c r="F6" s="38"/>
    </row>
    <row r="7" spans="1:6" ht="15">
      <c r="A7" s="38">
        <f t="shared" si="0"/>
        <v>4</v>
      </c>
      <c r="B7" s="38"/>
      <c r="C7" s="38"/>
      <c r="D7" s="38"/>
      <c r="E7" s="38"/>
      <c r="F7" s="38"/>
    </row>
    <row r="8" spans="1:6" ht="15">
      <c r="A8" s="38">
        <f t="shared" si="0"/>
        <v>5</v>
      </c>
      <c r="B8" s="38"/>
      <c r="C8" s="38"/>
      <c r="D8" s="38"/>
      <c r="E8" s="38"/>
      <c r="F8" s="38"/>
    </row>
    <row r="9" spans="1:6" ht="15">
      <c r="A9" s="38">
        <f t="shared" si="0"/>
        <v>6</v>
      </c>
      <c r="B9" s="38"/>
      <c r="C9" s="38"/>
      <c r="D9" s="38"/>
      <c r="E9" s="38"/>
      <c r="F9" s="38"/>
    </row>
    <row r="10" spans="1:6" ht="15">
      <c r="A10" s="38">
        <f t="shared" si="0"/>
        <v>7</v>
      </c>
      <c r="B10" s="38"/>
      <c r="C10" s="38"/>
      <c r="D10" s="38"/>
      <c r="E10" s="38"/>
      <c r="F10" s="38"/>
    </row>
    <row r="11" spans="1:6" ht="15">
      <c r="A11" s="38">
        <f t="shared" si="0"/>
        <v>8</v>
      </c>
      <c r="B11" s="38"/>
      <c r="C11" s="38"/>
      <c r="D11" s="38"/>
      <c r="E11" s="38"/>
      <c r="F11" s="38"/>
    </row>
    <row r="12" spans="1:6" ht="15">
      <c r="A12" s="38">
        <f t="shared" si="0"/>
        <v>9</v>
      </c>
      <c r="B12" s="38"/>
      <c r="C12" s="38"/>
      <c r="D12" s="38"/>
      <c r="E12" s="38"/>
      <c r="F12" s="38"/>
    </row>
    <row r="13" spans="1:6" ht="15">
      <c r="A13" s="38">
        <f t="shared" si="0"/>
        <v>10</v>
      </c>
      <c r="B13" s="38"/>
      <c r="C13" s="38"/>
      <c r="D13" s="38"/>
      <c r="E13" s="38"/>
      <c r="F13" s="38"/>
    </row>
    <row r="14" spans="1:6" ht="15">
      <c r="A14" s="38">
        <f t="shared" si="0"/>
        <v>11</v>
      </c>
      <c r="B14" s="38"/>
      <c r="C14" s="38"/>
      <c r="D14" s="38"/>
      <c r="E14" s="38"/>
      <c r="F14" s="38"/>
    </row>
    <row r="15" spans="1:6" ht="15">
      <c r="A15" s="38">
        <f t="shared" si="0"/>
        <v>12</v>
      </c>
      <c r="B15" s="38"/>
      <c r="C15" s="38"/>
      <c r="D15" s="38"/>
      <c r="E15" s="38"/>
      <c r="F15" s="38"/>
    </row>
    <row r="16" spans="1:6" ht="15">
      <c r="A16" s="38">
        <f t="shared" si="0"/>
        <v>13</v>
      </c>
      <c r="B16" s="38"/>
      <c r="C16" s="38"/>
      <c r="D16" s="38"/>
      <c r="E16" s="38"/>
      <c r="F16" s="38"/>
    </row>
    <row r="17" spans="1:6" ht="15">
      <c r="A17" s="38">
        <f t="shared" si="0"/>
        <v>14</v>
      </c>
      <c r="B17" s="38"/>
      <c r="C17" s="38"/>
      <c r="D17" s="38"/>
      <c r="E17" s="38"/>
      <c r="F17" s="38"/>
    </row>
    <row r="18" spans="1:6" ht="15">
      <c r="A18" s="38">
        <f t="shared" si="0"/>
        <v>15</v>
      </c>
      <c r="B18" s="38"/>
      <c r="C18" s="38"/>
      <c r="D18" s="38"/>
      <c r="E18" s="38"/>
      <c r="F18" s="38"/>
    </row>
    <row r="19" spans="1:6" ht="15">
      <c r="A19" s="38">
        <f t="shared" si="0"/>
        <v>16</v>
      </c>
      <c r="B19" s="38"/>
      <c r="C19" s="38"/>
      <c r="D19" s="38"/>
      <c r="E19" s="38"/>
      <c r="F19" s="38"/>
    </row>
    <row r="20" spans="1:6" ht="15">
      <c r="A20" s="38">
        <f t="shared" si="0"/>
        <v>17</v>
      </c>
      <c r="B20" s="38"/>
      <c r="C20" s="38"/>
      <c r="D20" s="38"/>
      <c r="E20" s="38"/>
      <c r="F20" s="38"/>
    </row>
    <row r="21" spans="1:6" ht="15">
      <c r="A21" s="38">
        <f t="shared" si="0"/>
        <v>18</v>
      </c>
      <c r="B21" s="38"/>
      <c r="C21" s="38"/>
      <c r="D21" s="38"/>
      <c r="E21" s="38"/>
      <c r="F21" s="38"/>
    </row>
    <row r="22" spans="1:6" ht="15">
      <c r="A22" s="38">
        <f t="shared" si="0"/>
        <v>19</v>
      </c>
      <c r="B22" s="38"/>
      <c r="C22" s="38"/>
      <c r="D22" s="38"/>
      <c r="E22" s="38"/>
      <c r="F22" s="38"/>
    </row>
    <row r="23" spans="1:6" ht="15">
      <c r="A23" s="38">
        <f t="shared" si="0"/>
        <v>20</v>
      </c>
      <c r="B23" s="38"/>
      <c r="C23" s="38"/>
      <c r="D23" s="38"/>
      <c r="E23" s="38"/>
      <c r="F23" s="38"/>
    </row>
    <row r="24" spans="1:6" ht="15">
      <c r="A24" s="38">
        <f t="shared" si="0"/>
        <v>21</v>
      </c>
      <c r="B24" s="38"/>
      <c r="C24" s="38"/>
      <c r="D24" s="38"/>
      <c r="E24" s="38"/>
      <c r="F24" s="38"/>
    </row>
    <row r="25" spans="1:6" ht="15">
      <c r="A25" s="38">
        <f t="shared" si="0"/>
        <v>22</v>
      </c>
      <c r="B25" s="39"/>
      <c r="C25" s="39"/>
      <c r="D25" s="39"/>
      <c r="E25" s="39"/>
      <c r="F25" s="39"/>
    </row>
    <row r="26" spans="1:6" ht="15">
      <c r="A26" s="38">
        <f t="shared" si="0"/>
        <v>23</v>
      </c>
      <c r="B26" s="38"/>
      <c r="C26" s="38"/>
      <c r="D26" s="38"/>
      <c r="E26" s="38"/>
      <c r="F26" s="38"/>
    </row>
    <row r="27" spans="1:6" ht="15">
      <c r="A27" s="38">
        <f t="shared" si="0"/>
        <v>24</v>
      </c>
      <c r="B27" s="38"/>
      <c r="C27" s="38"/>
      <c r="D27" s="38"/>
      <c r="E27" s="38"/>
      <c r="F27" s="38"/>
    </row>
    <row r="28" spans="1:6" ht="15">
      <c r="A28" s="38">
        <f t="shared" si="0"/>
        <v>25</v>
      </c>
      <c r="B28" s="38"/>
      <c r="C28" s="38"/>
      <c r="D28" s="38"/>
      <c r="E28" s="38"/>
      <c r="F28" s="38"/>
    </row>
    <row r="29" spans="1:6" ht="15">
      <c r="A29" s="38">
        <f t="shared" si="0"/>
        <v>26</v>
      </c>
      <c r="B29" s="38"/>
      <c r="C29" s="38"/>
      <c r="D29" s="38"/>
      <c r="E29" s="38"/>
      <c r="F29" s="38"/>
    </row>
    <row r="30" spans="1:6" ht="15">
      <c r="A30" s="38">
        <f t="shared" si="0"/>
        <v>27</v>
      </c>
      <c r="B30" s="38"/>
      <c r="C30" s="38"/>
      <c r="D30" s="38"/>
      <c r="E30" s="38"/>
      <c r="F30" s="38"/>
    </row>
    <row r="31" spans="1:6" ht="15">
      <c r="A31" s="38">
        <f t="shared" si="0"/>
        <v>28</v>
      </c>
      <c r="B31" s="38"/>
      <c r="C31" s="38"/>
      <c r="D31" s="38"/>
      <c r="E31" s="38"/>
      <c r="F31" s="38"/>
    </row>
    <row r="32" spans="1:6" ht="15">
      <c r="A32" s="38">
        <f t="shared" si="0"/>
        <v>29</v>
      </c>
      <c r="B32" s="38"/>
      <c r="C32" s="38"/>
      <c r="D32" s="38"/>
      <c r="E32" s="38"/>
      <c r="F32" s="38"/>
    </row>
    <row r="33" spans="1:6" ht="15">
      <c r="A33" s="38">
        <f t="shared" si="0"/>
        <v>30</v>
      </c>
      <c r="B33" s="38"/>
      <c r="C33" s="38"/>
      <c r="D33" s="38"/>
      <c r="E33" s="38"/>
      <c r="F33" s="38"/>
    </row>
    <row r="34" spans="1:6" ht="15">
      <c r="A34" s="38">
        <f t="shared" si="0"/>
        <v>31</v>
      </c>
      <c r="B34" s="38"/>
      <c r="C34" s="38"/>
      <c r="D34" s="38"/>
      <c r="E34" s="38"/>
      <c r="F34" s="38"/>
    </row>
    <row r="35" spans="1:6">
      <c r="A35" s="65" t="s">
        <v>216</v>
      </c>
      <c r="B35" s="65"/>
      <c r="C35" s="65"/>
      <c r="D35" s="65"/>
      <c r="E35" s="65"/>
      <c r="F35" s="65"/>
    </row>
    <row r="36" spans="1:6">
      <c r="A36" s="27" t="s">
        <v>189</v>
      </c>
      <c r="B36" s="27" t="s">
        <v>211</v>
      </c>
      <c r="C36" s="27" t="s">
        <v>212</v>
      </c>
      <c r="D36" s="27" t="s">
        <v>213</v>
      </c>
      <c r="E36" s="27" t="s">
        <v>214</v>
      </c>
      <c r="F36" s="27" t="s">
        <v>215</v>
      </c>
    </row>
    <row r="37" spans="1:6" ht="15">
      <c r="A37" s="38">
        <v>1</v>
      </c>
      <c r="B37" s="38"/>
      <c r="C37" s="38"/>
      <c r="D37" s="38"/>
      <c r="E37" s="38"/>
      <c r="F37" s="38"/>
    </row>
    <row r="38" spans="1:6" ht="15">
      <c r="A38" s="38">
        <f t="shared" ref="A38:A51" si="1">A37+1</f>
        <v>2</v>
      </c>
      <c r="B38" s="38"/>
      <c r="C38" s="38"/>
      <c r="D38" s="38"/>
      <c r="E38" s="38"/>
      <c r="F38" s="38"/>
    </row>
    <row r="39" spans="1:6" ht="15">
      <c r="A39" s="38">
        <f t="shared" si="1"/>
        <v>3</v>
      </c>
      <c r="B39" s="38"/>
      <c r="C39" s="38"/>
      <c r="D39" s="38"/>
      <c r="E39" s="38"/>
      <c r="F39" s="38"/>
    </row>
    <row r="40" spans="1:6" ht="15">
      <c r="A40" s="38">
        <f t="shared" si="1"/>
        <v>4</v>
      </c>
      <c r="B40" s="38"/>
      <c r="C40" s="38"/>
      <c r="D40" s="38"/>
      <c r="E40" s="38"/>
      <c r="F40" s="38"/>
    </row>
    <row r="41" spans="1:6" ht="15">
      <c r="A41" s="38">
        <f t="shared" si="1"/>
        <v>5</v>
      </c>
      <c r="B41" s="38"/>
      <c r="C41" s="38"/>
      <c r="D41" s="38"/>
      <c r="E41" s="38"/>
      <c r="F41" s="38"/>
    </row>
    <row r="42" spans="1:6" ht="15">
      <c r="A42" s="38">
        <f t="shared" si="1"/>
        <v>6</v>
      </c>
      <c r="B42" s="38"/>
      <c r="C42" s="38"/>
      <c r="D42" s="38"/>
      <c r="E42" s="38"/>
      <c r="F42" s="38"/>
    </row>
    <row r="43" spans="1:6" ht="15">
      <c r="A43" s="38">
        <f t="shared" si="1"/>
        <v>7</v>
      </c>
      <c r="B43" s="38"/>
      <c r="C43" s="38"/>
      <c r="D43" s="38"/>
      <c r="E43" s="38"/>
      <c r="F43" s="38"/>
    </row>
    <row r="44" spans="1:6" ht="15">
      <c r="A44" s="38">
        <f t="shared" si="1"/>
        <v>8</v>
      </c>
      <c r="B44" s="38"/>
      <c r="C44" s="38"/>
      <c r="D44" s="38"/>
      <c r="E44" s="38"/>
      <c r="F44" s="38"/>
    </row>
    <row r="45" spans="1:6" ht="15">
      <c r="A45" s="38">
        <f t="shared" si="1"/>
        <v>9</v>
      </c>
      <c r="B45" s="38"/>
      <c r="C45" s="38"/>
      <c r="D45" s="38"/>
      <c r="E45" s="38"/>
      <c r="F45" s="38"/>
    </row>
    <row r="46" spans="1:6" ht="15">
      <c r="A46" s="38">
        <f t="shared" si="1"/>
        <v>10</v>
      </c>
      <c r="B46" s="38"/>
      <c r="C46" s="38"/>
      <c r="D46" s="38"/>
      <c r="E46" s="38"/>
      <c r="F46" s="38"/>
    </row>
    <row r="47" spans="1:6" ht="15">
      <c r="A47" s="38">
        <f t="shared" si="1"/>
        <v>11</v>
      </c>
      <c r="B47" s="38"/>
      <c r="C47" s="38"/>
      <c r="D47" s="38"/>
      <c r="E47" s="38"/>
      <c r="F47" s="38"/>
    </row>
    <row r="48" spans="1:6" ht="15">
      <c r="A48" s="38">
        <f t="shared" si="1"/>
        <v>12</v>
      </c>
      <c r="B48" s="38"/>
      <c r="C48" s="38"/>
      <c r="D48" s="38"/>
      <c r="E48" s="38"/>
      <c r="F48" s="38"/>
    </row>
    <row r="49" spans="1:6" ht="15">
      <c r="A49" s="38">
        <f t="shared" si="1"/>
        <v>13</v>
      </c>
      <c r="B49" s="38"/>
      <c r="C49" s="38"/>
      <c r="D49" s="38"/>
      <c r="E49" s="38"/>
      <c r="F49" s="38"/>
    </row>
    <row r="50" spans="1:6" ht="15">
      <c r="A50" s="38">
        <f t="shared" si="1"/>
        <v>14</v>
      </c>
      <c r="B50" s="38"/>
      <c r="C50" s="38"/>
      <c r="D50" s="38"/>
      <c r="E50" s="38"/>
      <c r="F50" s="38"/>
    </row>
    <row r="51" spans="1:6" ht="15">
      <c r="A51" s="38">
        <f t="shared" si="1"/>
        <v>15</v>
      </c>
      <c r="B51" s="38"/>
      <c r="C51" s="38"/>
      <c r="D51" s="38"/>
      <c r="E51" s="38"/>
      <c r="F51" s="38"/>
    </row>
  </sheetData>
  <mergeCells count="3">
    <mergeCell ref="A1:F1"/>
    <mergeCell ref="A2:F2"/>
    <mergeCell ref="A35:F35"/>
  </mergeCells>
  <pageMargins left="0.7" right="0.7" top="0.75" bottom="0.75" header="0.3" footer="0.3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3E4A-8576-4687-AD2E-C8E9696B8D56}">
  <sheetPr>
    <pageSetUpPr fitToPage="1"/>
  </sheetPr>
  <dimension ref="A1:E93"/>
  <sheetViews>
    <sheetView topLeftCell="A15" zoomScaleNormal="60" zoomScaleSheetLayoutView="100" workbookViewId="0">
      <selection sqref="A1:E28"/>
    </sheetView>
  </sheetViews>
  <sheetFormatPr defaultRowHeight="12.75"/>
  <cols>
    <col min="1" max="1" width="4.85546875" customWidth="1"/>
    <col min="2" max="2" width="22.7109375" hidden="1" customWidth="1"/>
    <col min="3" max="3" width="24.85546875" customWidth="1"/>
    <col min="4" max="4" width="28.42578125" customWidth="1"/>
    <col min="5" max="5" width="16.7109375" customWidth="1"/>
  </cols>
  <sheetData>
    <row r="1" spans="1:5" ht="15.75">
      <c r="A1" s="67" t="s">
        <v>217</v>
      </c>
      <c r="B1" s="67"/>
      <c r="C1" s="67"/>
      <c r="D1" s="67"/>
      <c r="E1" s="67"/>
    </row>
    <row r="2" spans="1:5">
      <c r="A2" s="68" t="s">
        <v>218</v>
      </c>
      <c r="B2" s="68"/>
      <c r="C2" s="68"/>
      <c r="D2" s="68"/>
      <c r="E2" s="68"/>
    </row>
    <row r="3" spans="1:5">
      <c r="A3" s="70" t="s">
        <v>189</v>
      </c>
      <c r="B3" s="48"/>
      <c r="C3" s="50" t="s">
        <v>219</v>
      </c>
      <c r="D3" s="69" t="s">
        <v>220</v>
      </c>
      <c r="E3" s="69"/>
    </row>
    <row r="4" spans="1:5">
      <c r="A4" s="70"/>
      <c r="B4" s="48"/>
      <c r="C4" s="50" t="s">
        <v>221</v>
      </c>
      <c r="D4" s="69" t="s">
        <v>222</v>
      </c>
      <c r="E4" s="69"/>
    </row>
    <row r="5" spans="1:5">
      <c r="A5" s="70"/>
      <c r="B5" s="51" t="s">
        <v>211</v>
      </c>
      <c r="C5" s="51" t="s">
        <v>223</v>
      </c>
      <c r="D5" s="51" t="s">
        <v>212</v>
      </c>
      <c r="E5" s="20" t="s">
        <v>215</v>
      </c>
    </row>
    <row r="6" spans="1:5" ht="14.25">
      <c r="A6" s="49">
        <v>1</v>
      </c>
      <c r="B6" s="49" t="s">
        <v>224</v>
      </c>
      <c r="C6" s="49" t="str">
        <f t="shared" ref="C6:C28" si="0">"Rtn."&amp;B6</f>
        <v>Rtn.Ganesh Subedi</v>
      </c>
      <c r="D6" s="49" t="s">
        <v>225</v>
      </c>
      <c r="E6" s="47"/>
    </row>
    <row r="7" spans="1:5" ht="14.25">
      <c r="A7" s="49">
        <f t="shared" ref="A7:A61" si="1">A6+1</f>
        <v>2</v>
      </c>
      <c r="B7" s="49" t="s">
        <v>226</v>
      </c>
      <c r="C7" s="49" t="str">
        <f t="shared" si="0"/>
        <v>Rtn.Milan Kumar KC</v>
      </c>
      <c r="D7" s="49" t="s">
        <v>227</v>
      </c>
      <c r="E7" s="47"/>
    </row>
    <row r="8" spans="1:5" ht="14.25">
      <c r="A8" s="49">
        <f t="shared" si="1"/>
        <v>3</v>
      </c>
      <c r="B8" s="49" t="s">
        <v>94</v>
      </c>
      <c r="C8" s="49" t="str">
        <f t="shared" si="0"/>
        <v>Rtn.Bindu Prakash Joshi</v>
      </c>
      <c r="D8" s="49" t="s">
        <v>228</v>
      </c>
      <c r="E8" s="47"/>
    </row>
    <row r="9" spans="1:5" ht="14.25">
      <c r="A9" s="49">
        <f t="shared" si="1"/>
        <v>4</v>
      </c>
      <c r="B9" s="49" t="s">
        <v>229</v>
      </c>
      <c r="C9" s="49" t="str">
        <f t="shared" si="0"/>
        <v>Rtn.Dipendra Baskota</v>
      </c>
      <c r="D9" s="49" t="s">
        <v>230</v>
      </c>
      <c r="E9" s="47"/>
    </row>
    <row r="10" spans="1:5" ht="14.25">
      <c r="A10" s="49">
        <f t="shared" si="1"/>
        <v>5</v>
      </c>
      <c r="B10" s="49" t="s">
        <v>231</v>
      </c>
      <c r="C10" s="49" t="str">
        <f t="shared" si="0"/>
        <v>Rtn.Tej Prasad Timalsina</v>
      </c>
      <c r="D10" s="49" t="s">
        <v>232</v>
      </c>
      <c r="E10" s="47"/>
    </row>
    <row r="11" spans="1:5" ht="14.25">
      <c r="A11" s="49">
        <f t="shared" si="1"/>
        <v>6</v>
      </c>
      <c r="B11" s="49" t="s">
        <v>233</v>
      </c>
      <c r="C11" s="49" t="str">
        <f t="shared" si="0"/>
        <v>Rtn.Dr Pravesh Dahal</v>
      </c>
      <c r="D11" s="49" t="s">
        <v>232</v>
      </c>
      <c r="E11" s="47"/>
    </row>
    <row r="12" spans="1:5" ht="14.25">
      <c r="A12" s="49">
        <f t="shared" si="1"/>
        <v>7</v>
      </c>
      <c r="B12" s="49" t="s">
        <v>234</v>
      </c>
      <c r="C12" s="49" t="str">
        <f t="shared" si="0"/>
        <v>Rtn.Manoj Paudel</v>
      </c>
      <c r="D12" s="49" t="s">
        <v>235</v>
      </c>
      <c r="E12" s="47"/>
    </row>
    <row r="13" spans="1:5" ht="14.25">
      <c r="A13" s="49">
        <f t="shared" si="1"/>
        <v>8</v>
      </c>
      <c r="B13" s="49" t="s">
        <v>44</v>
      </c>
      <c r="C13" s="49" t="str">
        <f t="shared" si="0"/>
        <v>Rtn.Nisha Acharya</v>
      </c>
      <c r="D13" s="49" t="s">
        <v>236</v>
      </c>
      <c r="E13" s="47"/>
    </row>
    <row r="14" spans="1:5" ht="14.25">
      <c r="A14" s="49">
        <f t="shared" si="1"/>
        <v>9</v>
      </c>
      <c r="B14" s="49" t="s">
        <v>237</v>
      </c>
      <c r="C14" s="49" t="str">
        <f t="shared" si="0"/>
        <v>Rtn.Chumban Jung Shahi</v>
      </c>
      <c r="D14" s="49" t="s">
        <v>238</v>
      </c>
      <c r="E14" s="47"/>
    </row>
    <row r="15" spans="1:5" ht="14.25">
      <c r="A15" s="49">
        <f t="shared" si="1"/>
        <v>10</v>
      </c>
      <c r="B15" s="49" t="s">
        <v>128</v>
      </c>
      <c r="C15" s="49" t="str">
        <f t="shared" si="0"/>
        <v>Rtn.Ramu Pandeya</v>
      </c>
      <c r="D15" s="49" t="s">
        <v>239</v>
      </c>
      <c r="E15" s="47"/>
    </row>
    <row r="16" spans="1:5" ht="14.25">
      <c r="A16" s="49">
        <f t="shared" si="1"/>
        <v>11</v>
      </c>
      <c r="B16" s="49" t="s">
        <v>240</v>
      </c>
      <c r="C16" s="49" t="str">
        <f t="shared" si="0"/>
        <v>Rtn.Hark Saud</v>
      </c>
      <c r="D16" s="49" t="s">
        <v>241</v>
      </c>
      <c r="E16" s="47"/>
    </row>
    <row r="17" spans="1:5" ht="14.25">
      <c r="A17" s="49">
        <f t="shared" si="1"/>
        <v>12</v>
      </c>
      <c r="B17" s="49" t="s">
        <v>58</v>
      </c>
      <c r="C17" s="49" t="str">
        <f t="shared" si="0"/>
        <v>Rtn.Surya Bahadur Adhikari</v>
      </c>
      <c r="D17" s="49" t="s">
        <v>242</v>
      </c>
      <c r="E17" s="47"/>
    </row>
    <row r="18" spans="1:5" ht="14.25">
      <c r="A18" s="49">
        <f t="shared" si="1"/>
        <v>13</v>
      </c>
      <c r="B18" s="49" t="s">
        <v>243</v>
      </c>
      <c r="C18" s="49" t="str">
        <f t="shared" si="0"/>
        <v>Rtn.Dr Motiram Phuyal</v>
      </c>
      <c r="D18" s="49" t="s">
        <v>244</v>
      </c>
      <c r="E18" s="47"/>
    </row>
    <row r="19" spans="1:5" ht="14.25">
      <c r="A19" s="49">
        <f t="shared" si="1"/>
        <v>14</v>
      </c>
      <c r="B19" s="49" t="s">
        <v>245</v>
      </c>
      <c r="C19" s="49" t="str">
        <f t="shared" si="0"/>
        <v>Rtn.Mamata Raj Singh</v>
      </c>
      <c r="D19" s="49" t="s">
        <v>246</v>
      </c>
      <c r="E19" s="47"/>
    </row>
    <row r="20" spans="1:5" ht="14.25">
      <c r="A20" s="49">
        <f t="shared" si="1"/>
        <v>15</v>
      </c>
      <c r="B20" s="49" t="s">
        <v>151</v>
      </c>
      <c r="C20" s="49" t="str">
        <f t="shared" si="0"/>
        <v>Rtn.Shristi Raut</v>
      </c>
      <c r="D20" s="49" t="s">
        <v>247</v>
      </c>
      <c r="E20" s="47"/>
    </row>
    <row r="21" spans="1:5" ht="14.25">
      <c r="A21" s="49">
        <f t="shared" si="1"/>
        <v>16</v>
      </c>
      <c r="B21" s="49" t="s">
        <v>122</v>
      </c>
      <c r="C21" s="49" t="str">
        <f t="shared" si="0"/>
        <v>Rtn.Sashi Raj Pandey</v>
      </c>
      <c r="D21" s="49" t="s">
        <v>248</v>
      </c>
      <c r="E21" s="47"/>
    </row>
    <row r="22" spans="1:5" ht="14.25">
      <c r="A22" s="49">
        <f t="shared" si="1"/>
        <v>17</v>
      </c>
      <c r="B22" s="49" t="s">
        <v>249</v>
      </c>
      <c r="C22" s="49" t="str">
        <f t="shared" si="0"/>
        <v>Rtn.Haribhakta Budhathoki</v>
      </c>
      <c r="D22" s="49" t="s">
        <v>250</v>
      </c>
      <c r="E22" s="47"/>
    </row>
    <row r="23" spans="1:5" ht="14.25">
      <c r="A23" s="49">
        <f t="shared" si="1"/>
        <v>18</v>
      </c>
      <c r="B23" s="49" t="s">
        <v>116</v>
      </c>
      <c r="C23" s="49" t="str">
        <f t="shared" si="0"/>
        <v>Rtn.Rajesh Neupane</v>
      </c>
      <c r="D23" s="49" t="s">
        <v>250</v>
      </c>
      <c r="E23" s="47"/>
    </row>
    <row r="24" spans="1:5" ht="14.25">
      <c r="A24" s="49">
        <f t="shared" si="1"/>
        <v>19</v>
      </c>
      <c r="B24" s="49" t="s">
        <v>54</v>
      </c>
      <c r="C24" s="49" t="str">
        <f t="shared" si="0"/>
        <v>Rtn.Shalik Ram Adhikari</v>
      </c>
      <c r="D24" s="49" t="s">
        <v>250</v>
      </c>
      <c r="E24" s="47"/>
    </row>
    <row r="25" spans="1:5" ht="14.25">
      <c r="A25" s="49">
        <f t="shared" si="1"/>
        <v>20</v>
      </c>
      <c r="B25" s="49" t="s">
        <v>251</v>
      </c>
      <c r="C25" s="49" t="str">
        <f t="shared" si="0"/>
        <v>Rtn.Himalaya Sigdel</v>
      </c>
      <c r="D25" s="49" t="s">
        <v>252</v>
      </c>
      <c r="E25" s="47"/>
    </row>
    <row r="26" spans="1:5" ht="14.25">
      <c r="A26" s="49">
        <f t="shared" si="1"/>
        <v>21</v>
      </c>
      <c r="B26" s="49" t="s">
        <v>179</v>
      </c>
      <c r="C26" s="49" t="str">
        <f t="shared" si="0"/>
        <v>Rtn.Durga Prasad Subedi</v>
      </c>
      <c r="D26" s="49" t="s">
        <v>253</v>
      </c>
      <c r="E26" s="47"/>
    </row>
    <row r="27" spans="1:5" ht="14.25">
      <c r="A27" s="49">
        <f t="shared" si="1"/>
        <v>22</v>
      </c>
      <c r="B27" s="49" t="s">
        <v>254</v>
      </c>
      <c r="C27" s="49" t="str">
        <f t="shared" si="0"/>
        <v>Rtn.Prakash Sapkota</v>
      </c>
      <c r="D27" s="49" t="s">
        <v>255</v>
      </c>
      <c r="E27" s="47"/>
    </row>
    <row r="28" spans="1:5" ht="14.25">
      <c r="A28" s="49">
        <f t="shared" si="1"/>
        <v>23</v>
      </c>
      <c r="B28" s="49" t="s">
        <v>256</v>
      </c>
      <c r="C28" s="49" t="str">
        <f t="shared" si="0"/>
        <v>Rtn.Dr Archana KC</v>
      </c>
      <c r="D28" s="49" t="s">
        <v>257</v>
      </c>
      <c r="E28" s="47"/>
    </row>
    <row r="29" spans="1:5" ht="14.25">
      <c r="A29" s="49">
        <f t="shared" si="1"/>
        <v>24</v>
      </c>
      <c r="B29" s="54"/>
      <c r="C29" s="54" t="s">
        <v>258</v>
      </c>
      <c r="D29" s="54" t="s">
        <v>259</v>
      </c>
      <c r="E29" s="47"/>
    </row>
    <row r="30" spans="1:5" ht="14.25">
      <c r="A30" s="46">
        <f t="shared" si="1"/>
        <v>25</v>
      </c>
      <c r="B30" s="47"/>
      <c r="C30" s="47"/>
      <c r="D30" s="47"/>
      <c r="E30" s="47"/>
    </row>
    <row r="31" spans="1:5" ht="14.25">
      <c r="A31" s="46">
        <f t="shared" si="1"/>
        <v>26</v>
      </c>
      <c r="B31" s="47"/>
      <c r="C31" s="47"/>
      <c r="D31" s="47"/>
      <c r="E31" s="47"/>
    </row>
    <row r="32" spans="1:5" ht="14.25">
      <c r="A32" s="46">
        <f t="shared" si="1"/>
        <v>27</v>
      </c>
      <c r="B32" s="47"/>
      <c r="C32" s="47"/>
      <c r="D32" s="47"/>
      <c r="E32" s="47"/>
    </row>
    <row r="33" spans="1:5" ht="14.25">
      <c r="A33" s="46">
        <f t="shared" si="1"/>
        <v>28</v>
      </c>
      <c r="B33" s="47"/>
      <c r="C33" s="47"/>
      <c r="D33" s="47"/>
      <c r="E33" s="47"/>
    </row>
    <row r="34" spans="1:5" ht="14.25">
      <c r="A34" s="46">
        <f t="shared" si="1"/>
        <v>29</v>
      </c>
      <c r="B34" s="47"/>
      <c r="C34" s="47"/>
      <c r="D34" s="47"/>
      <c r="E34" s="47"/>
    </row>
    <row r="35" spans="1:5" ht="14.25">
      <c r="A35" s="46">
        <f t="shared" si="1"/>
        <v>30</v>
      </c>
      <c r="B35" s="47"/>
      <c r="C35" s="47"/>
      <c r="D35" s="47"/>
      <c r="E35" s="47"/>
    </row>
    <row r="36" spans="1:5" ht="14.25">
      <c r="A36" s="46">
        <f t="shared" si="1"/>
        <v>31</v>
      </c>
      <c r="B36" s="47"/>
      <c r="C36" s="47"/>
      <c r="D36" s="47"/>
      <c r="E36" s="47"/>
    </row>
    <row r="37" spans="1:5" ht="14.25">
      <c r="A37" s="46">
        <f t="shared" si="1"/>
        <v>32</v>
      </c>
      <c r="B37" s="47"/>
      <c r="C37" s="47"/>
      <c r="D37" s="47"/>
      <c r="E37" s="47"/>
    </row>
    <row r="38" spans="1:5" ht="14.25">
      <c r="A38" s="46">
        <f t="shared" si="1"/>
        <v>33</v>
      </c>
      <c r="B38" s="47"/>
      <c r="C38" s="47"/>
      <c r="D38" s="47"/>
      <c r="E38" s="47"/>
    </row>
    <row r="39" spans="1:5" ht="14.25">
      <c r="A39" s="46">
        <f t="shared" si="1"/>
        <v>34</v>
      </c>
      <c r="B39" s="47"/>
      <c r="C39" s="47"/>
      <c r="D39" s="47"/>
      <c r="E39" s="47"/>
    </row>
    <row r="40" spans="1:5" ht="14.25">
      <c r="A40" s="46">
        <f t="shared" si="1"/>
        <v>35</v>
      </c>
      <c r="B40" s="47"/>
      <c r="C40" s="47"/>
      <c r="D40" s="47"/>
      <c r="E40" s="47"/>
    </row>
    <row r="41" spans="1:5" ht="14.25">
      <c r="A41" s="46">
        <f t="shared" si="1"/>
        <v>36</v>
      </c>
      <c r="B41" s="47"/>
      <c r="C41" s="47"/>
      <c r="D41" s="47"/>
      <c r="E41" s="47"/>
    </row>
    <row r="42" spans="1:5" ht="14.25">
      <c r="A42" s="46">
        <f t="shared" si="1"/>
        <v>37</v>
      </c>
      <c r="B42" s="47"/>
      <c r="C42" s="47"/>
      <c r="D42" s="47"/>
      <c r="E42" s="47"/>
    </row>
    <row r="43" spans="1:5" ht="14.25">
      <c r="A43" s="46">
        <f t="shared" si="1"/>
        <v>38</v>
      </c>
      <c r="B43" s="47"/>
      <c r="C43" s="47"/>
      <c r="D43" s="47"/>
      <c r="E43" s="47"/>
    </row>
    <row r="44" spans="1:5" ht="14.25">
      <c r="A44" s="46">
        <f t="shared" si="1"/>
        <v>39</v>
      </c>
      <c r="B44" s="47"/>
      <c r="C44" s="47"/>
      <c r="D44" s="47"/>
      <c r="E44" s="47"/>
    </row>
    <row r="45" spans="1:5" ht="14.25">
      <c r="A45" s="46">
        <f t="shared" si="1"/>
        <v>40</v>
      </c>
      <c r="B45" s="47"/>
      <c r="C45" s="47"/>
      <c r="D45" s="47"/>
      <c r="E45" s="47"/>
    </row>
    <row r="46" spans="1:5" ht="14.25">
      <c r="A46" s="46">
        <f t="shared" si="1"/>
        <v>41</v>
      </c>
      <c r="B46" s="47"/>
      <c r="C46" s="47"/>
      <c r="D46" s="47"/>
      <c r="E46" s="47"/>
    </row>
    <row r="47" spans="1:5" ht="14.25">
      <c r="A47" s="46">
        <f t="shared" si="1"/>
        <v>42</v>
      </c>
      <c r="B47" s="47"/>
      <c r="C47" s="47"/>
      <c r="D47" s="47"/>
      <c r="E47" s="47"/>
    </row>
    <row r="48" spans="1:5" ht="14.25">
      <c r="A48" s="46">
        <f t="shared" si="1"/>
        <v>43</v>
      </c>
      <c r="B48" s="47"/>
      <c r="C48" s="47"/>
      <c r="D48" s="47"/>
      <c r="E48" s="47"/>
    </row>
    <row r="49" spans="1:5" ht="14.25">
      <c r="A49" s="46">
        <f t="shared" si="1"/>
        <v>44</v>
      </c>
      <c r="B49" s="47"/>
      <c r="C49" s="47"/>
      <c r="D49" s="47"/>
      <c r="E49" s="47"/>
    </row>
    <row r="50" spans="1:5" ht="14.25">
      <c r="A50" s="46">
        <f t="shared" si="1"/>
        <v>45</v>
      </c>
      <c r="B50" s="47"/>
      <c r="C50" s="47"/>
      <c r="D50" s="47"/>
      <c r="E50" s="47"/>
    </row>
    <row r="51" spans="1:5" ht="14.25">
      <c r="A51" s="46">
        <f t="shared" si="1"/>
        <v>46</v>
      </c>
      <c r="B51" s="47"/>
      <c r="C51" s="47"/>
      <c r="D51" s="47"/>
      <c r="E51" s="47"/>
    </row>
    <row r="52" spans="1:5" ht="14.25">
      <c r="A52" s="46">
        <f t="shared" si="1"/>
        <v>47</v>
      </c>
      <c r="B52" s="47"/>
      <c r="C52" s="47"/>
      <c r="D52" s="47"/>
      <c r="E52" s="47"/>
    </row>
    <row r="53" spans="1:5" ht="14.25">
      <c r="A53" s="46">
        <f t="shared" si="1"/>
        <v>48</v>
      </c>
      <c r="B53" s="47"/>
      <c r="C53" s="47"/>
      <c r="D53" s="47"/>
      <c r="E53" s="47"/>
    </row>
    <row r="54" spans="1:5" ht="14.25">
      <c r="A54" s="46">
        <f t="shared" si="1"/>
        <v>49</v>
      </c>
      <c r="B54" s="47"/>
      <c r="C54" s="47"/>
      <c r="D54" s="47"/>
      <c r="E54" s="47"/>
    </row>
    <row r="55" spans="1:5" ht="14.25">
      <c r="A55" s="46">
        <f t="shared" si="1"/>
        <v>50</v>
      </c>
      <c r="B55" s="47"/>
      <c r="C55" s="47"/>
      <c r="D55" s="47"/>
      <c r="E55" s="47"/>
    </row>
    <row r="56" spans="1:5" ht="14.25">
      <c r="A56" s="46">
        <f t="shared" si="1"/>
        <v>51</v>
      </c>
      <c r="B56" s="47"/>
      <c r="C56" s="47"/>
      <c r="D56" s="47"/>
      <c r="E56" s="47"/>
    </row>
    <row r="57" spans="1:5" ht="14.25">
      <c r="A57" s="46">
        <f t="shared" si="1"/>
        <v>52</v>
      </c>
      <c r="B57" s="47"/>
      <c r="C57" s="47"/>
      <c r="D57" s="47"/>
      <c r="E57" s="47"/>
    </row>
    <row r="58" spans="1:5" ht="14.25">
      <c r="A58" s="46">
        <f t="shared" si="1"/>
        <v>53</v>
      </c>
      <c r="B58" s="47"/>
      <c r="C58" s="47"/>
      <c r="D58" s="47"/>
      <c r="E58" s="47"/>
    </row>
    <row r="59" spans="1:5" ht="14.25">
      <c r="A59" s="46">
        <f t="shared" si="1"/>
        <v>54</v>
      </c>
      <c r="B59" s="47"/>
      <c r="C59" s="47"/>
      <c r="D59" s="47"/>
      <c r="E59" s="47"/>
    </row>
    <row r="60" spans="1:5" ht="14.25">
      <c r="A60" s="46">
        <f t="shared" si="1"/>
        <v>55</v>
      </c>
      <c r="B60" s="47"/>
      <c r="C60" s="47"/>
      <c r="D60" s="47"/>
      <c r="E60" s="47"/>
    </row>
    <row r="61" spans="1:5" ht="14.25">
      <c r="A61" s="46">
        <f t="shared" si="1"/>
        <v>56</v>
      </c>
      <c r="B61" s="47"/>
      <c r="C61" s="47"/>
      <c r="D61" s="47"/>
      <c r="E61" s="47"/>
    </row>
    <row r="62" spans="1:5">
      <c r="C62" s="71" t="s">
        <v>260</v>
      </c>
      <c r="D62" s="71"/>
      <c r="E62" s="71"/>
    </row>
    <row r="63" spans="1:5">
      <c r="A63" s="52" t="s">
        <v>189</v>
      </c>
      <c r="B63" s="52"/>
      <c r="C63" s="52" t="s">
        <v>211</v>
      </c>
      <c r="D63" s="52" t="s">
        <v>261</v>
      </c>
      <c r="E63" s="52" t="s">
        <v>215</v>
      </c>
    </row>
    <row r="64" spans="1:5">
      <c r="A64" s="6">
        <v>1</v>
      </c>
      <c r="B64" s="6"/>
      <c r="C64" s="6"/>
      <c r="D64" s="6"/>
      <c r="E64" s="6"/>
    </row>
    <row r="65" spans="1:5">
      <c r="A65" s="6">
        <f>A64+1</f>
        <v>2</v>
      </c>
      <c r="B65" s="6"/>
      <c r="C65" s="6"/>
      <c r="D65" s="6"/>
      <c r="E65" s="6"/>
    </row>
    <row r="66" spans="1:5">
      <c r="A66" s="6">
        <f t="shared" ref="A66:A77" si="2">A65+1</f>
        <v>3</v>
      </c>
      <c r="B66" s="6"/>
      <c r="C66" s="6"/>
      <c r="D66" s="6"/>
      <c r="E66" s="6"/>
    </row>
    <row r="67" spans="1:5">
      <c r="A67" s="6">
        <f t="shared" si="2"/>
        <v>4</v>
      </c>
      <c r="B67" s="6"/>
      <c r="C67" s="6"/>
      <c r="D67" s="6"/>
      <c r="E67" s="6"/>
    </row>
    <row r="68" spans="1:5">
      <c r="A68" s="6">
        <f t="shared" si="2"/>
        <v>5</v>
      </c>
      <c r="B68" s="6"/>
      <c r="C68" s="6"/>
      <c r="D68" s="6"/>
      <c r="E68" s="6"/>
    </row>
    <row r="69" spans="1:5">
      <c r="A69" s="6">
        <f t="shared" si="2"/>
        <v>6</v>
      </c>
      <c r="B69" s="6"/>
      <c r="C69" s="6"/>
      <c r="D69" s="6"/>
      <c r="E69" s="6"/>
    </row>
    <row r="70" spans="1:5">
      <c r="A70" s="6">
        <f t="shared" si="2"/>
        <v>7</v>
      </c>
      <c r="B70" s="6"/>
      <c r="C70" s="6"/>
      <c r="D70" s="6"/>
      <c r="E70" s="6"/>
    </row>
    <row r="71" spans="1:5">
      <c r="A71" s="6">
        <f t="shared" si="2"/>
        <v>8</v>
      </c>
      <c r="B71" s="6"/>
      <c r="C71" s="6"/>
      <c r="D71" s="6"/>
      <c r="E71" s="6"/>
    </row>
    <row r="72" spans="1:5">
      <c r="A72" s="6">
        <f t="shared" si="2"/>
        <v>9</v>
      </c>
      <c r="B72" s="6"/>
      <c r="C72" s="6"/>
      <c r="D72" s="6"/>
      <c r="E72" s="6"/>
    </row>
    <row r="73" spans="1:5">
      <c r="A73" s="6">
        <f t="shared" si="2"/>
        <v>10</v>
      </c>
      <c r="B73" s="6"/>
      <c r="C73" s="6"/>
      <c r="D73" s="6"/>
      <c r="E73" s="6"/>
    </row>
    <row r="74" spans="1:5">
      <c r="A74" s="6">
        <f t="shared" si="2"/>
        <v>11</v>
      </c>
      <c r="B74" s="6"/>
      <c r="C74" s="6"/>
      <c r="D74" s="6"/>
      <c r="E74" s="6"/>
    </row>
    <row r="75" spans="1:5">
      <c r="A75" s="6">
        <f t="shared" si="2"/>
        <v>12</v>
      </c>
      <c r="B75" s="6"/>
      <c r="C75" s="6"/>
      <c r="D75" s="6"/>
      <c r="E75" s="6"/>
    </row>
    <row r="76" spans="1:5">
      <c r="A76" s="6">
        <f t="shared" si="2"/>
        <v>13</v>
      </c>
      <c r="B76" s="6"/>
      <c r="C76" s="6"/>
      <c r="D76" s="6"/>
      <c r="E76" s="6"/>
    </row>
    <row r="77" spans="1:5">
      <c r="A77" s="6">
        <f t="shared" si="2"/>
        <v>14</v>
      </c>
      <c r="B77" s="6"/>
      <c r="C77" s="6"/>
      <c r="D77" s="6"/>
      <c r="E77" s="6"/>
    </row>
    <row r="78" spans="1:5">
      <c r="A78" s="53"/>
      <c r="B78" s="53"/>
      <c r="C78" s="66" t="s">
        <v>262</v>
      </c>
      <c r="D78" s="66"/>
      <c r="E78" s="66"/>
    </row>
    <row r="79" spans="1:5">
      <c r="A79" s="52" t="s">
        <v>189</v>
      </c>
      <c r="B79" s="52"/>
      <c r="C79" s="52" t="s">
        <v>211</v>
      </c>
      <c r="D79" s="52" t="s">
        <v>263</v>
      </c>
      <c r="E79" s="52" t="s">
        <v>215</v>
      </c>
    </row>
    <row r="80" spans="1:5">
      <c r="A80" s="6">
        <v>1</v>
      </c>
      <c r="B80" s="6"/>
      <c r="C80" s="6"/>
      <c r="D80" s="6"/>
      <c r="E80" s="6"/>
    </row>
    <row r="81" spans="1:5">
      <c r="A81" s="6">
        <f t="shared" ref="A81:A93" si="3">A80+1</f>
        <v>2</v>
      </c>
      <c r="B81" s="6"/>
      <c r="C81" s="6"/>
      <c r="D81" s="6"/>
      <c r="E81" s="6"/>
    </row>
    <row r="82" spans="1:5">
      <c r="A82" s="6">
        <f t="shared" si="3"/>
        <v>3</v>
      </c>
      <c r="B82" s="6"/>
      <c r="C82" s="6"/>
      <c r="D82" s="6"/>
      <c r="E82" s="6"/>
    </row>
    <row r="83" spans="1:5">
      <c r="A83" s="6">
        <f t="shared" si="3"/>
        <v>4</v>
      </c>
      <c r="B83" s="6"/>
      <c r="C83" s="6"/>
      <c r="D83" s="6"/>
      <c r="E83" s="6"/>
    </row>
    <row r="84" spans="1:5">
      <c r="A84" s="6">
        <f t="shared" si="3"/>
        <v>5</v>
      </c>
      <c r="B84" s="6"/>
      <c r="C84" s="6"/>
      <c r="D84" s="6"/>
      <c r="E84" s="6"/>
    </row>
    <row r="85" spans="1:5">
      <c r="A85" s="6">
        <f t="shared" si="3"/>
        <v>6</v>
      </c>
      <c r="B85" s="6"/>
      <c r="C85" s="6"/>
      <c r="D85" s="6"/>
      <c r="E85" s="6"/>
    </row>
    <row r="86" spans="1:5">
      <c r="A86" s="6">
        <f t="shared" si="3"/>
        <v>7</v>
      </c>
      <c r="B86" s="6"/>
      <c r="C86" s="6"/>
      <c r="D86" s="6"/>
      <c r="E86" s="6"/>
    </row>
    <row r="87" spans="1:5">
      <c r="A87" s="6">
        <f t="shared" si="3"/>
        <v>8</v>
      </c>
      <c r="B87" s="6"/>
      <c r="C87" s="6"/>
      <c r="D87" s="6"/>
      <c r="E87" s="6"/>
    </row>
    <row r="88" spans="1:5">
      <c r="A88" s="6">
        <f t="shared" si="3"/>
        <v>9</v>
      </c>
      <c r="B88" s="6"/>
      <c r="C88" s="6"/>
      <c r="D88" s="6"/>
      <c r="E88" s="6"/>
    </row>
    <row r="89" spans="1:5">
      <c r="A89" s="6">
        <f t="shared" si="3"/>
        <v>10</v>
      </c>
      <c r="B89" s="6"/>
      <c r="C89" s="6"/>
      <c r="D89" s="6"/>
      <c r="E89" s="6"/>
    </row>
    <row r="90" spans="1:5">
      <c r="A90" s="6">
        <f t="shared" si="3"/>
        <v>11</v>
      </c>
      <c r="B90" s="6"/>
      <c r="C90" s="6"/>
      <c r="D90" s="6"/>
      <c r="E90" s="6"/>
    </row>
    <row r="91" spans="1:5">
      <c r="A91" s="6">
        <f t="shared" si="3"/>
        <v>12</v>
      </c>
      <c r="B91" s="6"/>
      <c r="C91" s="6"/>
      <c r="D91" s="6"/>
      <c r="E91" s="6"/>
    </row>
    <row r="92" spans="1:5">
      <c r="A92" s="6">
        <f t="shared" si="3"/>
        <v>13</v>
      </c>
      <c r="B92" s="6"/>
      <c r="C92" s="6"/>
      <c r="D92" s="6"/>
      <c r="E92" s="6"/>
    </row>
    <row r="93" spans="1:5">
      <c r="A93" s="6">
        <f t="shared" si="3"/>
        <v>14</v>
      </c>
      <c r="B93" s="6"/>
      <c r="C93" s="6"/>
      <c r="D93" s="6"/>
      <c r="E93" s="6"/>
    </row>
  </sheetData>
  <mergeCells count="7">
    <mergeCell ref="C78:E78"/>
    <mergeCell ref="A1:E1"/>
    <mergeCell ref="A2:E2"/>
    <mergeCell ref="A3:A5"/>
    <mergeCell ref="D3:E3"/>
    <mergeCell ref="D4:E4"/>
    <mergeCell ref="C62:E62"/>
  </mergeCells>
  <pageMargins left="0.7" right="0.25" top="0.75" bottom="0" header="0.3" footer="0"/>
  <pageSetup paperSize="9" orientation="portrait" horizont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5010-61DF-4983-927D-FB486D5D254A}">
  <dimension ref="A1:E93"/>
  <sheetViews>
    <sheetView tabSelected="1" topLeftCell="A77" zoomScaleNormal="60" zoomScaleSheetLayoutView="100" workbookViewId="0">
      <selection activeCell="J91" sqref="J91"/>
    </sheetView>
  </sheetViews>
  <sheetFormatPr defaultRowHeight="12.75"/>
  <cols>
    <col min="1" max="1" width="4.85546875" customWidth="1"/>
    <col min="2" max="2" width="22.7109375" hidden="1" customWidth="1"/>
    <col min="3" max="3" width="24.85546875" customWidth="1"/>
    <col min="4" max="4" width="28.42578125" customWidth="1"/>
    <col min="5" max="5" width="16.7109375" customWidth="1"/>
  </cols>
  <sheetData>
    <row r="1" spans="1:5" ht="15.75">
      <c r="A1" s="67" t="s">
        <v>217</v>
      </c>
      <c r="B1" s="67"/>
      <c r="C1" s="67"/>
      <c r="D1" s="67"/>
      <c r="E1" s="67"/>
    </row>
    <row r="2" spans="1:5">
      <c r="A2" s="68" t="s">
        <v>264</v>
      </c>
      <c r="B2" s="68"/>
      <c r="C2" s="68"/>
      <c r="D2" s="68"/>
      <c r="E2" s="68"/>
    </row>
    <row r="3" spans="1:5">
      <c r="A3" s="70" t="s">
        <v>189</v>
      </c>
      <c r="B3" s="48"/>
      <c r="C3" s="50" t="s">
        <v>219</v>
      </c>
      <c r="D3" s="69" t="s">
        <v>220</v>
      </c>
      <c r="E3" s="69"/>
    </row>
    <row r="4" spans="1:5">
      <c r="A4" s="70"/>
      <c r="B4" s="48"/>
      <c r="C4" s="50" t="s">
        <v>221</v>
      </c>
      <c r="D4" s="69" t="s">
        <v>222</v>
      </c>
      <c r="E4" s="69"/>
    </row>
    <row r="5" spans="1:5">
      <c r="A5" s="70"/>
      <c r="B5" s="51" t="s">
        <v>211</v>
      </c>
      <c r="C5" s="51" t="s">
        <v>223</v>
      </c>
      <c r="D5" s="51" t="s">
        <v>212</v>
      </c>
      <c r="E5" s="20" t="s">
        <v>215</v>
      </c>
    </row>
    <row r="6" spans="1:5" ht="14.25">
      <c r="A6" s="49">
        <v>1</v>
      </c>
      <c r="B6" s="49" t="s">
        <v>224</v>
      </c>
      <c r="C6" s="49" t="str">
        <f t="shared" ref="C6:C28" si="0">"Rtn."&amp;B6</f>
        <v>Rtn.Ganesh Subedi</v>
      </c>
      <c r="D6" s="49" t="s">
        <v>225</v>
      </c>
      <c r="E6" s="47"/>
    </row>
    <row r="7" spans="1:5" ht="14.25">
      <c r="A7" s="49">
        <f t="shared" ref="A7:A38" si="1">A6+1</f>
        <v>2</v>
      </c>
      <c r="B7" s="49" t="s">
        <v>226</v>
      </c>
      <c r="C7" s="49" t="str">
        <f t="shared" si="0"/>
        <v>Rtn.Milan Kumar KC</v>
      </c>
      <c r="D7" s="49" t="s">
        <v>227</v>
      </c>
      <c r="E7" s="47"/>
    </row>
    <row r="8" spans="1:5" ht="14.25">
      <c r="A8" s="49">
        <f t="shared" si="1"/>
        <v>3</v>
      </c>
      <c r="B8" s="49" t="s">
        <v>94</v>
      </c>
      <c r="C8" s="49" t="str">
        <f t="shared" si="0"/>
        <v>Rtn.Bindu Prakash Joshi</v>
      </c>
      <c r="D8" s="49" t="s">
        <v>228</v>
      </c>
      <c r="E8" s="47"/>
    </row>
    <row r="9" spans="1:5" ht="14.25">
      <c r="A9" s="49">
        <f t="shared" si="1"/>
        <v>4</v>
      </c>
      <c r="B9" s="49" t="s">
        <v>229</v>
      </c>
      <c r="C9" s="49" t="str">
        <f t="shared" si="0"/>
        <v>Rtn.Dipendra Baskota</v>
      </c>
      <c r="D9" s="49" t="s">
        <v>230</v>
      </c>
      <c r="E9" s="47"/>
    </row>
    <row r="10" spans="1:5" ht="14.25">
      <c r="A10" s="49">
        <f t="shared" si="1"/>
        <v>5</v>
      </c>
      <c r="B10" s="49" t="s">
        <v>231</v>
      </c>
      <c r="C10" s="49" t="str">
        <f t="shared" si="0"/>
        <v>Rtn.Tej Prasad Timalsina</v>
      </c>
      <c r="D10" s="49" t="s">
        <v>232</v>
      </c>
      <c r="E10" s="47"/>
    </row>
    <row r="11" spans="1:5" ht="14.25">
      <c r="A11" s="49">
        <f t="shared" si="1"/>
        <v>6</v>
      </c>
      <c r="B11" s="49" t="s">
        <v>233</v>
      </c>
      <c r="C11" s="49" t="str">
        <f t="shared" si="0"/>
        <v>Rtn.Dr Pravesh Dahal</v>
      </c>
      <c r="D11" s="49" t="s">
        <v>232</v>
      </c>
      <c r="E11" s="47"/>
    </row>
    <row r="12" spans="1:5" ht="14.25">
      <c r="A12" s="49">
        <f t="shared" si="1"/>
        <v>7</v>
      </c>
      <c r="B12" s="49" t="s">
        <v>234</v>
      </c>
      <c r="C12" s="49" t="str">
        <f t="shared" si="0"/>
        <v>Rtn.Manoj Paudel</v>
      </c>
      <c r="D12" s="49" t="s">
        <v>235</v>
      </c>
      <c r="E12" s="47"/>
    </row>
    <row r="13" spans="1:5" ht="14.25">
      <c r="A13" s="49">
        <f t="shared" si="1"/>
        <v>8</v>
      </c>
      <c r="B13" s="49" t="s">
        <v>44</v>
      </c>
      <c r="C13" s="49" t="str">
        <f t="shared" si="0"/>
        <v>Rtn.Nisha Acharya</v>
      </c>
      <c r="D13" s="49" t="s">
        <v>236</v>
      </c>
      <c r="E13" s="47"/>
    </row>
    <row r="14" spans="1:5" ht="14.25">
      <c r="A14" s="49">
        <f t="shared" si="1"/>
        <v>9</v>
      </c>
      <c r="B14" s="49" t="s">
        <v>237</v>
      </c>
      <c r="C14" s="49" t="str">
        <f t="shared" si="0"/>
        <v>Rtn.Chumban Jung Shahi</v>
      </c>
      <c r="D14" s="49" t="s">
        <v>238</v>
      </c>
      <c r="E14" s="47"/>
    </row>
    <row r="15" spans="1:5" ht="14.25">
      <c r="A15" s="49">
        <f t="shared" si="1"/>
        <v>10</v>
      </c>
      <c r="B15" s="49" t="s">
        <v>128</v>
      </c>
      <c r="C15" s="49" t="str">
        <f t="shared" si="0"/>
        <v>Rtn.Ramu Pandeya</v>
      </c>
      <c r="D15" s="49" t="s">
        <v>239</v>
      </c>
      <c r="E15" s="47"/>
    </row>
    <row r="16" spans="1:5" ht="14.25">
      <c r="A16" s="49">
        <f t="shared" si="1"/>
        <v>11</v>
      </c>
      <c r="B16" s="49" t="s">
        <v>240</v>
      </c>
      <c r="C16" s="49" t="str">
        <f t="shared" si="0"/>
        <v>Rtn.Hark Saud</v>
      </c>
      <c r="D16" s="49" t="s">
        <v>241</v>
      </c>
      <c r="E16" s="47"/>
    </row>
    <row r="17" spans="1:5" ht="14.25">
      <c r="A17" s="49">
        <f t="shared" si="1"/>
        <v>12</v>
      </c>
      <c r="B17" s="49" t="s">
        <v>58</v>
      </c>
      <c r="C17" s="49" t="str">
        <f t="shared" si="0"/>
        <v>Rtn.Surya Bahadur Adhikari</v>
      </c>
      <c r="D17" s="49" t="s">
        <v>242</v>
      </c>
      <c r="E17" s="47"/>
    </row>
    <row r="18" spans="1:5" ht="14.25">
      <c r="A18" s="49">
        <f t="shared" si="1"/>
        <v>13</v>
      </c>
      <c r="B18" s="49" t="s">
        <v>243</v>
      </c>
      <c r="C18" s="49" t="str">
        <f t="shared" si="0"/>
        <v>Rtn.Dr Motiram Phuyal</v>
      </c>
      <c r="D18" s="49" t="s">
        <v>244</v>
      </c>
      <c r="E18" s="47"/>
    </row>
    <row r="19" spans="1:5" ht="14.25">
      <c r="A19" s="49">
        <f t="shared" si="1"/>
        <v>14</v>
      </c>
      <c r="B19" s="49" t="s">
        <v>245</v>
      </c>
      <c r="C19" s="49" t="str">
        <f t="shared" si="0"/>
        <v>Rtn.Mamata Raj Singh</v>
      </c>
      <c r="D19" s="49" t="s">
        <v>246</v>
      </c>
      <c r="E19" s="47"/>
    </row>
    <row r="20" spans="1:5" ht="14.25">
      <c r="A20" s="49">
        <f t="shared" si="1"/>
        <v>15</v>
      </c>
      <c r="B20" s="49" t="s">
        <v>151</v>
      </c>
      <c r="C20" s="49" t="str">
        <f t="shared" si="0"/>
        <v>Rtn.Shristi Raut</v>
      </c>
      <c r="D20" s="49" t="s">
        <v>247</v>
      </c>
      <c r="E20" s="47"/>
    </row>
    <row r="21" spans="1:5" ht="14.25">
      <c r="A21" s="49">
        <f t="shared" si="1"/>
        <v>16</v>
      </c>
      <c r="B21" s="49" t="s">
        <v>122</v>
      </c>
      <c r="C21" s="49" t="str">
        <f t="shared" si="0"/>
        <v>Rtn.Sashi Raj Pandey</v>
      </c>
      <c r="D21" s="49" t="s">
        <v>248</v>
      </c>
      <c r="E21" s="47"/>
    </row>
    <row r="22" spans="1:5" ht="14.25">
      <c r="A22" s="49">
        <f t="shared" si="1"/>
        <v>17</v>
      </c>
      <c r="B22" s="49" t="s">
        <v>249</v>
      </c>
      <c r="C22" s="49" t="str">
        <f t="shared" si="0"/>
        <v>Rtn.Haribhakta Budhathoki</v>
      </c>
      <c r="D22" s="49" t="s">
        <v>250</v>
      </c>
      <c r="E22" s="47"/>
    </row>
    <row r="23" spans="1:5" ht="14.25">
      <c r="A23" s="49">
        <f t="shared" si="1"/>
        <v>18</v>
      </c>
      <c r="B23" s="49" t="s">
        <v>116</v>
      </c>
      <c r="C23" s="49" t="str">
        <f t="shared" si="0"/>
        <v>Rtn.Rajesh Neupane</v>
      </c>
      <c r="D23" s="49" t="s">
        <v>250</v>
      </c>
      <c r="E23" s="47"/>
    </row>
    <row r="24" spans="1:5" ht="14.25">
      <c r="A24" s="49">
        <f t="shared" si="1"/>
        <v>19</v>
      </c>
      <c r="B24" s="49" t="s">
        <v>54</v>
      </c>
      <c r="C24" s="49" t="str">
        <f t="shared" si="0"/>
        <v>Rtn.Shalik Ram Adhikari</v>
      </c>
      <c r="D24" s="49" t="s">
        <v>250</v>
      </c>
      <c r="E24" s="47"/>
    </row>
    <row r="25" spans="1:5" ht="14.25">
      <c r="A25" s="49">
        <f t="shared" si="1"/>
        <v>20</v>
      </c>
      <c r="B25" s="49" t="s">
        <v>251</v>
      </c>
      <c r="C25" s="49" t="str">
        <f t="shared" si="0"/>
        <v>Rtn.Himalaya Sigdel</v>
      </c>
      <c r="D25" s="49" t="s">
        <v>252</v>
      </c>
      <c r="E25" s="47"/>
    </row>
    <row r="26" spans="1:5" ht="14.25">
      <c r="A26" s="49">
        <f t="shared" si="1"/>
        <v>21</v>
      </c>
      <c r="B26" s="49" t="s">
        <v>179</v>
      </c>
      <c r="C26" s="49" t="str">
        <f t="shared" si="0"/>
        <v>Rtn.Durga Prasad Subedi</v>
      </c>
      <c r="D26" s="49" t="s">
        <v>253</v>
      </c>
      <c r="E26" s="47"/>
    </row>
    <row r="27" spans="1:5" ht="14.25">
      <c r="A27" s="49">
        <f t="shared" si="1"/>
        <v>22</v>
      </c>
      <c r="B27" s="49" t="s">
        <v>254</v>
      </c>
      <c r="C27" s="49" t="str">
        <f t="shared" si="0"/>
        <v>Rtn.Prakash Sapkota</v>
      </c>
      <c r="D27" s="49" t="s">
        <v>255</v>
      </c>
      <c r="E27" s="47"/>
    </row>
    <row r="28" spans="1:5" ht="14.25">
      <c r="A28" s="49">
        <f t="shared" si="1"/>
        <v>23</v>
      </c>
      <c r="B28" s="49" t="s">
        <v>256</v>
      </c>
      <c r="C28" s="49" t="str">
        <f t="shared" si="0"/>
        <v>Rtn.Dr Archana KC</v>
      </c>
      <c r="D28" s="49" t="s">
        <v>257</v>
      </c>
      <c r="E28" s="47"/>
    </row>
    <row r="29" spans="1:5" ht="14.25">
      <c r="A29" s="49">
        <f t="shared" si="1"/>
        <v>24</v>
      </c>
      <c r="B29" s="54"/>
      <c r="C29" s="54" t="s">
        <v>258</v>
      </c>
      <c r="D29" s="54" t="s">
        <v>259</v>
      </c>
      <c r="E29" s="47"/>
    </row>
    <row r="30" spans="1:5" ht="14.25">
      <c r="A30" s="46">
        <f t="shared" si="1"/>
        <v>25</v>
      </c>
      <c r="B30" s="47"/>
      <c r="C30" s="47"/>
      <c r="D30" s="47"/>
      <c r="E30" s="47"/>
    </row>
    <row r="31" spans="1:5" ht="14.25">
      <c r="A31" s="46">
        <f t="shared" si="1"/>
        <v>26</v>
      </c>
      <c r="B31" s="47"/>
      <c r="C31" s="47"/>
      <c r="D31" s="47"/>
      <c r="E31" s="47"/>
    </row>
    <row r="32" spans="1:5" ht="14.25">
      <c r="A32" s="46">
        <f t="shared" si="1"/>
        <v>27</v>
      </c>
      <c r="B32" s="47"/>
      <c r="C32" s="47"/>
      <c r="D32" s="47"/>
      <c r="E32" s="47"/>
    </row>
    <row r="33" spans="1:5" ht="14.25">
      <c r="A33" s="46">
        <f t="shared" si="1"/>
        <v>28</v>
      </c>
      <c r="B33" s="47"/>
      <c r="C33" s="47"/>
      <c r="D33" s="47"/>
      <c r="E33" s="47"/>
    </row>
    <row r="34" spans="1:5" ht="14.25">
      <c r="A34" s="46">
        <f t="shared" si="1"/>
        <v>29</v>
      </c>
      <c r="B34" s="47"/>
      <c r="C34" s="47"/>
      <c r="D34" s="47"/>
      <c r="E34" s="47"/>
    </row>
    <row r="35" spans="1:5" ht="14.25">
      <c r="A35" s="46">
        <f t="shared" si="1"/>
        <v>30</v>
      </c>
      <c r="B35" s="47"/>
      <c r="C35" s="47"/>
      <c r="D35" s="47"/>
      <c r="E35" s="47"/>
    </row>
    <row r="36" spans="1:5" ht="14.25">
      <c r="A36" s="46">
        <f t="shared" si="1"/>
        <v>31</v>
      </c>
      <c r="B36" s="47"/>
      <c r="C36" s="47"/>
      <c r="D36" s="47"/>
      <c r="E36" s="47"/>
    </row>
    <row r="37" spans="1:5" ht="14.25">
      <c r="A37" s="46">
        <f t="shared" si="1"/>
        <v>32</v>
      </c>
      <c r="B37" s="47"/>
      <c r="C37" s="47"/>
      <c r="D37" s="47"/>
      <c r="E37" s="47"/>
    </row>
    <row r="38" spans="1:5" ht="14.25">
      <c r="A38" s="46">
        <f t="shared" si="1"/>
        <v>33</v>
      </c>
      <c r="B38" s="47"/>
      <c r="C38" s="47"/>
      <c r="D38" s="47"/>
      <c r="E38" s="47"/>
    </row>
    <row r="39" spans="1:5" ht="14.25">
      <c r="A39" s="46">
        <f t="shared" ref="A39:A61" si="2">A38+1</f>
        <v>34</v>
      </c>
      <c r="B39" s="47"/>
      <c r="C39" s="47"/>
      <c r="D39" s="47"/>
      <c r="E39" s="47"/>
    </row>
    <row r="40" spans="1:5" ht="14.25">
      <c r="A40" s="46">
        <f t="shared" si="2"/>
        <v>35</v>
      </c>
      <c r="B40" s="47"/>
      <c r="C40" s="47"/>
      <c r="D40" s="47"/>
      <c r="E40" s="47"/>
    </row>
    <row r="41" spans="1:5" ht="14.25">
      <c r="A41" s="46">
        <f t="shared" si="2"/>
        <v>36</v>
      </c>
      <c r="B41" s="47"/>
      <c r="C41" s="47"/>
      <c r="D41" s="47"/>
      <c r="E41" s="47"/>
    </row>
    <row r="42" spans="1:5" ht="14.25">
      <c r="A42" s="46">
        <f t="shared" si="2"/>
        <v>37</v>
      </c>
      <c r="B42" s="47"/>
      <c r="C42" s="47"/>
      <c r="D42" s="47"/>
      <c r="E42" s="47"/>
    </row>
    <row r="43" spans="1:5" ht="14.25">
      <c r="A43" s="46">
        <f t="shared" si="2"/>
        <v>38</v>
      </c>
      <c r="B43" s="47"/>
      <c r="C43" s="47"/>
      <c r="D43" s="47"/>
      <c r="E43" s="47"/>
    </row>
    <row r="44" spans="1:5" ht="14.25">
      <c r="A44" s="46">
        <f t="shared" si="2"/>
        <v>39</v>
      </c>
      <c r="B44" s="47"/>
      <c r="C44" s="47"/>
      <c r="D44" s="47"/>
      <c r="E44" s="47"/>
    </row>
    <row r="45" spans="1:5" ht="14.25">
      <c r="A45" s="46">
        <f t="shared" si="2"/>
        <v>40</v>
      </c>
      <c r="B45" s="47"/>
      <c r="C45" s="47"/>
      <c r="D45" s="47"/>
      <c r="E45" s="47"/>
    </row>
    <row r="46" spans="1:5" ht="14.25">
      <c r="A46" s="46">
        <f t="shared" si="2"/>
        <v>41</v>
      </c>
      <c r="B46" s="47"/>
      <c r="C46" s="47"/>
      <c r="D46" s="47"/>
      <c r="E46" s="47"/>
    </row>
    <row r="47" spans="1:5" ht="14.25">
      <c r="A47" s="46">
        <f t="shared" si="2"/>
        <v>42</v>
      </c>
      <c r="B47" s="47"/>
      <c r="C47" s="47"/>
      <c r="D47" s="47"/>
      <c r="E47" s="47"/>
    </row>
    <row r="48" spans="1:5" ht="14.25">
      <c r="A48" s="46">
        <f t="shared" si="2"/>
        <v>43</v>
      </c>
      <c r="B48" s="47"/>
      <c r="C48" s="47"/>
      <c r="D48" s="47"/>
      <c r="E48" s="47"/>
    </row>
    <row r="49" spans="1:5" ht="14.25">
      <c r="A49" s="46">
        <f t="shared" si="2"/>
        <v>44</v>
      </c>
      <c r="B49" s="47"/>
      <c r="C49" s="47"/>
      <c r="D49" s="47"/>
      <c r="E49" s="47"/>
    </row>
    <row r="50" spans="1:5" ht="14.25">
      <c r="A50" s="46">
        <f t="shared" si="2"/>
        <v>45</v>
      </c>
      <c r="B50" s="47"/>
      <c r="C50" s="47"/>
      <c r="D50" s="47"/>
      <c r="E50" s="47"/>
    </row>
    <row r="51" spans="1:5" ht="14.25">
      <c r="A51" s="46">
        <f t="shared" si="2"/>
        <v>46</v>
      </c>
      <c r="B51" s="47"/>
      <c r="C51" s="47"/>
      <c r="D51" s="47"/>
      <c r="E51" s="47"/>
    </row>
    <row r="52" spans="1:5" ht="14.25">
      <c r="A52" s="46">
        <f t="shared" si="2"/>
        <v>47</v>
      </c>
      <c r="B52" s="47"/>
      <c r="C52" s="47"/>
      <c r="D52" s="47"/>
      <c r="E52" s="47"/>
    </row>
    <row r="53" spans="1:5" ht="14.25">
      <c r="A53" s="46">
        <f t="shared" si="2"/>
        <v>48</v>
      </c>
      <c r="B53" s="47"/>
      <c r="C53" s="47"/>
      <c r="D53" s="47"/>
      <c r="E53" s="47"/>
    </row>
    <row r="54" spans="1:5" ht="14.25">
      <c r="A54" s="46">
        <f t="shared" si="2"/>
        <v>49</v>
      </c>
      <c r="B54" s="47"/>
      <c r="C54" s="47"/>
      <c r="D54" s="47"/>
      <c r="E54" s="47"/>
    </row>
    <row r="55" spans="1:5" ht="14.25">
      <c r="A55" s="46">
        <f t="shared" si="2"/>
        <v>50</v>
      </c>
      <c r="B55" s="47"/>
      <c r="C55" s="47"/>
      <c r="D55" s="47"/>
      <c r="E55" s="47"/>
    </row>
    <row r="56" spans="1:5" ht="14.25">
      <c r="A56" s="46">
        <f t="shared" si="2"/>
        <v>51</v>
      </c>
      <c r="B56" s="47"/>
      <c r="C56" s="47"/>
      <c r="D56" s="47"/>
      <c r="E56" s="47"/>
    </row>
    <row r="57" spans="1:5" ht="14.25">
      <c r="A57" s="46">
        <f t="shared" si="2"/>
        <v>52</v>
      </c>
      <c r="B57" s="47"/>
      <c r="C57" s="47"/>
      <c r="D57" s="47"/>
      <c r="E57" s="47"/>
    </row>
    <row r="58" spans="1:5" ht="14.25">
      <c r="A58" s="46">
        <f t="shared" si="2"/>
        <v>53</v>
      </c>
      <c r="B58" s="47"/>
      <c r="C58" s="47"/>
      <c r="D58" s="47"/>
      <c r="E58" s="47"/>
    </row>
    <row r="59" spans="1:5" ht="14.25">
      <c r="A59" s="46">
        <f t="shared" si="2"/>
        <v>54</v>
      </c>
      <c r="B59" s="47"/>
      <c r="C59" s="47"/>
      <c r="D59" s="47"/>
      <c r="E59" s="47"/>
    </row>
    <row r="60" spans="1:5" ht="14.25">
      <c r="A60" s="46">
        <f t="shared" si="2"/>
        <v>55</v>
      </c>
      <c r="B60" s="47"/>
      <c r="C60" s="47"/>
      <c r="D60" s="47"/>
      <c r="E60" s="47"/>
    </row>
    <row r="61" spans="1:5" ht="14.25">
      <c r="A61" s="46">
        <f t="shared" si="2"/>
        <v>56</v>
      </c>
      <c r="B61" s="47"/>
      <c r="C61" s="47"/>
      <c r="D61" s="47"/>
      <c r="E61" s="47"/>
    </row>
    <row r="62" spans="1:5">
      <c r="C62" s="71" t="s">
        <v>260</v>
      </c>
      <c r="D62" s="71"/>
      <c r="E62" s="71"/>
    </row>
    <row r="63" spans="1:5">
      <c r="A63" s="52" t="s">
        <v>189</v>
      </c>
      <c r="B63" s="52"/>
      <c r="C63" s="52" t="s">
        <v>211</v>
      </c>
      <c r="D63" s="52" t="s">
        <v>261</v>
      </c>
      <c r="E63" s="52" t="s">
        <v>215</v>
      </c>
    </row>
    <row r="64" spans="1:5">
      <c r="A64" s="6">
        <v>1</v>
      </c>
      <c r="B64" s="6"/>
      <c r="C64" s="6"/>
      <c r="D64" s="6"/>
      <c r="E64" s="6"/>
    </row>
    <row r="65" spans="1:5">
      <c r="A65" s="6">
        <f>A64+1</f>
        <v>2</v>
      </c>
      <c r="B65" s="6"/>
      <c r="C65" s="6"/>
      <c r="D65" s="6"/>
      <c r="E65" s="6"/>
    </row>
    <row r="66" spans="1:5">
      <c r="A66" s="6">
        <f t="shared" ref="A66:A77" si="3">A65+1</f>
        <v>3</v>
      </c>
      <c r="B66" s="6"/>
      <c r="C66" s="6"/>
      <c r="D66" s="6"/>
      <c r="E66" s="6"/>
    </row>
    <row r="67" spans="1:5">
      <c r="A67" s="6">
        <f t="shared" si="3"/>
        <v>4</v>
      </c>
      <c r="B67" s="6"/>
      <c r="C67" s="6"/>
      <c r="D67" s="6"/>
      <c r="E67" s="6"/>
    </row>
    <row r="68" spans="1:5">
      <c r="A68" s="6">
        <f t="shared" si="3"/>
        <v>5</v>
      </c>
      <c r="B68" s="6"/>
      <c r="C68" s="6"/>
      <c r="D68" s="6"/>
      <c r="E68" s="6"/>
    </row>
    <row r="69" spans="1:5">
      <c r="A69" s="6">
        <f t="shared" si="3"/>
        <v>6</v>
      </c>
      <c r="B69" s="6"/>
      <c r="C69" s="6"/>
      <c r="D69" s="6"/>
      <c r="E69" s="6"/>
    </row>
    <row r="70" spans="1:5">
      <c r="A70" s="6">
        <f t="shared" si="3"/>
        <v>7</v>
      </c>
      <c r="B70" s="6"/>
      <c r="C70" s="6"/>
      <c r="D70" s="6"/>
      <c r="E70" s="6"/>
    </row>
    <row r="71" spans="1:5">
      <c r="A71" s="6">
        <f t="shared" si="3"/>
        <v>8</v>
      </c>
      <c r="B71" s="6"/>
      <c r="C71" s="6"/>
      <c r="D71" s="6"/>
      <c r="E71" s="6"/>
    </row>
    <row r="72" spans="1:5">
      <c r="A72" s="6">
        <f t="shared" si="3"/>
        <v>9</v>
      </c>
      <c r="B72" s="6"/>
      <c r="C72" s="6"/>
      <c r="D72" s="6"/>
      <c r="E72" s="6"/>
    </row>
    <row r="73" spans="1:5">
      <c r="A73" s="6">
        <f t="shared" si="3"/>
        <v>10</v>
      </c>
      <c r="B73" s="6"/>
      <c r="C73" s="6"/>
      <c r="D73" s="6"/>
      <c r="E73" s="6"/>
    </row>
    <row r="74" spans="1:5">
      <c r="A74" s="6">
        <f t="shared" si="3"/>
        <v>11</v>
      </c>
      <c r="B74" s="6"/>
      <c r="C74" s="6"/>
      <c r="D74" s="6"/>
      <c r="E74" s="6"/>
    </row>
    <row r="75" spans="1:5">
      <c r="A75" s="6">
        <f t="shared" si="3"/>
        <v>12</v>
      </c>
      <c r="B75" s="6"/>
      <c r="C75" s="6"/>
      <c r="D75" s="6"/>
      <c r="E75" s="6"/>
    </row>
    <row r="76" spans="1:5">
      <c r="A76" s="6">
        <f t="shared" si="3"/>
        <v>13</v>
      </c>
      <c r="B76" s="6"/>
      <c r="C76" s="6"/>
      <c r="D76" s="6"/>
      <c r="E76" s="6"/>
    </row>
    <row r="77" spans="1:5">
      <c r="A77" s="6">
        <f t="shared" si="3"/>
        <v>14</v>
      </c>
      <c r="B77" s="6"/>
      <c r="C77" s="6"/>
      <c r="D77" s="6"/>
      <c r="E77" s="6"/>
    </row>
    <row r="78" spans="1:5">
      <c r="A78" s="53"/>
      <c r="B78" s="53"/>
      <c r="C78" s="66" t="s">
        <v>262</v>
      </c>
      <c r="D78" s="66"/>
      <c r="E78" s="66"/>
    </row>
    <row r="79" spans="1:5">
      <c r="A79" s="52" t="s">
        <v>189</v>
      </c>
      <c r="B79" s="52"/>
      <c r="C79" s="52" t="s">
        <v>211</v>
      </c>
      <c r="D79" s="52" t="s">
        <v>263</v>
      </c>
      <c r="E79" s="52" t="s">
        <v>215</v>
      </c>
    </row>
    <row r="80" spans="1:5">
      <c r="A80" s="6">
        <v>1</v>
      </c>
      <c r="B80" s="6"/>
      <c r="C80" s="6"/>
      <c r="D80" s="6"/>
      <c r="E80" s="6"/>
    </row>
    <row r="81" spans="1:5">
      <c r="A81" s="6">
        <f t="shared" ref="A81:A93" si="4">A80+1</f>
        <v>2</v>
      </c>
      <c r="B81" s="6"/>
      <c r="C81" s="6"/>
      <c r="D81" s="6"/>
      <c r="E81" s="6"/>
    </row>
    <row r="82" spans="1:5">
      <c r="A82" s="6">
        <f t="shared" si="4"/>
        <v>3</v>
      </c>
      <c r="B82" s="6"/>
      <c r="C82" s="6"/>
      <c r="D82" s="6"/>
      <c r="E82" s="6"/>
    </row>
    <row r="83" spans="1:5">
      <c r="A83" s="6">
        <f t="shared" si="4"/>
        <v>4</v>
      </c>
      <c r="B83" s="6"/>
      <c r="C83" s="6"/>
      <c r="D83" s="6"/>
      <c r="E83" s="6"/>
    </row>
    <row r="84" spans="1:5">
      <c r="A84" s="6">
        <f t="shared" si="4"/>
        <v>5</v>
      </c>
      <c r="B84" s="6"/>
      <c r="C84" s="6"/>
      <c r="D84" s="6"/>
      <c r="E84" s="6"/>
    </row>
    <row r="85" spans="1:5">
      <c r="A85" s="6">
        <f t="shared" si="4"/>
        <v>6</v>
      </c>
      <c r="B85" s="6"/>
      <c r="C85" s="6"/>
      <c r="D85" s="6"/>
      <c r="E85" s="6"/>
    </row>
    <row r="86" spans="1:5">
      <c r="A86" s="6">
        <f t="shared" si="4"/>
        <v>7</v>
      </c>
      <c r="B86" s="6"/>
      <c r="C86" s="6"/>
      <c r="D86" s="6"/>
      <c r="E86" s="6"/>
    </row>
    <row r="87" spans="1:5">
      <c r="A87" s="6">
        <f t="shared" si="4"/>
        <v>8</v>
      </c>
      <c r="B87" s="6"/>
      <c r="C87" s="6"/>
      <c r="D87" s="6"/>
      <c r="E87" s="6"/>
    </row>
    <row r="88" spans="1:5">
      <c r="A88" s="6">
        <f t="shared" si="4"/>
        <v>9</v>
      </c>
      <c r="B88" s="6"/>
      <c r="C88" s="6"/>
      <c r="D88" s="6"/>
      <c r="E88" s="6"/>
    </row>
    <row r="89" spans="1:5">
      <c r="A89" s="6">
        <f t="shared" si="4"/>
        <v>10</v>
      </c>
      <c r="B89" s="6"/>
      <c r="C89" s="6"/>
      <c r="D89" s="6"/>
      <c r="E89" s="6"/>
    </row>
    <row r="90" spans="1:5">
      <c r="A90" s="6">
        <f t="shared" si="4"/>
        <v>11</v>
      </c>
      <c r="B90" s="6"/>
      <c r="C90" s="6"/>
      <c r="D90" s="6"/>
      <c r="E90" s="6"/>
    </row>
    <row r="91" spans="1:5">
      <c r="A91" s="6">
        <f t="shared" si="4"/>
        <v>12</v>
      </c>
      <c r="B91" s="6"/>
      <c r="C91" s="6"/>
      <c r="D91" s="6"/>
      <c r="E91" s="6"/>
    </row>
    <row r="92" spans="1:5">
      <c r="A92" s="6">
        <f t="shared" si="4"/>
        <v>13</v>
      </c>
      <c r="B92" s="6"/>
      <c r="C92" s="6"/>
      <c r="D92" s="6"/>
      <c r="E92" s="6"/>
    </row>
    <row r="93" spans="1:5">
      <c r="A93" s="6">
        <f t="shared" si="4"/>
        <v>14</v>
      </c>
      <c r="B93" s="6"/>
      <c r="C93" s="6"/>
      <c r="D93" s="6"/>
      <c r="E93" s="6"/>
    </row>
  </sheetData>
  <mergeCells count="7">
    <mergeCell ref="C78:E78"/>
    <mergeCell ref="A1:E1"/>
    <mergeCell ref="A2:E2"/>
    <mergeCell ref="D4:E4"/>
    <mergeCell ref="D3:E3"/>
    <mergeCell ref="A3:A5"/>
    <mergeCell ref="C62:E62"/>
  </mergeCells>
  <pageMargins left="1" right="1" top="1" bottom="1" header="0.5" footer="0.5"/>
  <pageSetup paperSize="9" fitToWidth="0" fitToHeight="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ADAE-C0B5-4803-BC56-5EBF03A7705D}">
  <dimension ref="A1:F23"/>
  <sheetViews>
    <sheetView workbookViewId="0">
      <selection activeCell="I8" sqref="I8"/>
    </sheetView>
  </sheetViews>
  <sheetFormatPr defaultRowHeight="12.75"/>
  <cols>
    <col min="1" max="1" width="4.42578125" customWidth="1"/>
    <col min="2" max="2" width="30.140625" bestFit="1" customWidth="1"/>
    <col min="6" max="6" width="11.42578125" customWidth="1"/>
  </cols>
  <sheetData>
    <row r="1" spans="1:6">
      <c r="A1" s="62" t="s">
        <v>217</v>
      </c>
      <c r="B1" s="62"/>
      <c r="C1" s="62"/>
      <c r="D1" s="62"/>
      <c r="E1" s="62"/>
      <c r="F1" s="62"/>
    </row>
    <row r="2" spans="1:6">
      <c r="A2" s="62" t="s">
        <v>265</v>
      </c>
      <c r="B2" s="62"/>
      <c r="C2" s="62"/>
      <c r="D2" s="62"/>
      <c r="E2" s="62"/>
      <c r="F2" s="62"/>
    </row>
    <row r="4" spans="1:6">
      <c r="A4" s="1" t="s">
        <v>189</v>
      </c>
      <c r="B4" s="1" t="s">
        <v>4</v>
      </c>
      <c r="C4" s="1" t="s">
        <v>5</v>
      </c>
      <c r="D4" s="1" t="s">
        <v>266</v>
      </c>
      <c r="E4" s="1" t="s">
        <v>267</v>
      </c>
      <c r="F4" s="1" t="s">
        <v>268</v>
      </c>
    </row>
    <row r="5" spans="1:6">
      <c r="A5" s="1">
        <v>1</v>
      </c>
      <c r="B5" s="1" t="s">
        <v>269</v>
      </c>
      <c r="C5" s="1">
        <v>50290</v>
      </c>
      <c r="D5" s="1" t="s">
        <v>196</v>
      </c>
      <c r="E5" s="1" t="s">
        <v>270</v>
      </c>
      <c r="F5" s="72" t="s">
        <v>271</v>
      </c>
    </row>
    <row r="6" spans="1:6">
      <c r="A6" s="1">
        <v>2</v>
      </c>
      <c r="B6" s="1" t="s">
        <v>272</v>
      </c>
      <c r="C6" s="1">
        <v>19800</v>
      </c>
      <c r="D6" s="1" t="s">
        <v>196</v>
      </c>
      <c r="E6" s="1" t="s">
        <v>270</v>
      </c>
      <c r="F6" s="72"/>
    </row>
    <row r="7" spans="1:6">
      <c r="A7" s="1">
        <v>3</v>
      </c>
      <c r="B7" s="1" t="s">
        <v>273</v>
      </c>
      <c r="C7" s="1">
        <v>25870</v>
      </c>
      <c r="D7" s="1" t="s">
        <v>274</v>
      </c>
      <c r="E7" s="1" t="s">
        <v>270</v>
      </c>
      <c r="F7" s="72"/>
    </row>
    <row r="8" spans="1:6">
      <c r="A8" s="1">
        <v>4</v>
      </c>
      <c r="B8" s="1" t="s">
        <v>275</v>
      </c>
      <c r="C8" s="1">
        <v>13550</v>
      </c>
      <c r="D8" s="1" t="s">
        <v>196</v>
      </c>
      <c r="E8" s="1" t="s">
        <v>270</v>
      </c>
      <c r="F8" s="72"/>
    </row>
    <row r="9" spans="1:6">
      <c r="A9" s="1">
        <v>5</v>
      </c>
      <c r="B9" s="1" t="s">
        <v>276</v>
      </c>
      <c r="C9" s="1">
        <v>34500</v>
      </c>
      <c r="D9" s="1" t="s">
        <v>196</v>
      </c>
      <c r="E9" s="1" t="s">
        <v>270</v>
      </c>
      <c r="F9" s="72"/>
    </row>
    <row r="10" spans="1:6">
      <c r="A10" s="1">
        <v>6</v>
      </c>
      <c r="B10" s="1" t="s">
        <v>277</v>
      </c>
      <c r="C10" s="1">
        <v>450</v>
      </c>
      <c r="D10" s="1"/>
      <c r="E10" s="1" t="s">
        <v>270</v>
      </c>
      <c r="F10" s="1" t="s">
        <v>29</v>
      </c>
    </row>
    <row r="11" spans="1:6">
      <c r="A11" s="1">
        <v>7</v>
      </c>
      <c r="B11" s="1" t="s">
        <v>278</v>
      </c>
      <c r="C11" s="1">
        <v>300</v>
      </c>
      <c r="D11" s="1"/>
      <c r="E11" s="1" t="s">
        <v>270</v>
      </c>
      <c r="F11" s="1" t="s">
        <v>29</v>
      </c>
    </row>
    <row r="12" spans="1:6">
      <c r="A12" s="1">
        <v>8</v>
      </c>
      <c r="B12" s="1" t="s">
        <v>279</v>
      </c>
      <c r="C12" s="1">
        <f>7000+2290</f>
        <v>9290</v>
      </c>
      <c r="D12" s="1" t="s">
        <v>274</v>
      </c>
      <c r="E12" s="1" t="s">
        <v>270</v>
      </c>
      <c r="F12" s="73" t="s">
        <v>280</v>
      </c>
    </row>
    <row r="13" spans="1:6">
      <c r="A13" s="1">
        <v>9</v>
      </c>
      <c r="B13" s="1" t="s">
        <v>281</v>
      </c>
      <c r="C13" s="1">
        <v>14000</v>
      </c>
      <c r="D13" s="1" t="s">
        <v>196</v>
      </c>
      <c r="E13" s="1" t="s">
        <v>270</v>
      </c>
      <c r="F13" s="73"/>
    </row>
    <row r="14" spans="1:6">
      <c r="A14" s="1">
        <v>10</v>
      </c>
      <c r="B14" s="1" t="s">
        <v>282</v>
      </c>
      <c r="C14" s="1">
        <v>3000</v>
      </c>
      <c r="D14" s="1" t="s">
        <v>196</v>
      </c>
      <c r="E14" s="1" t="s">
        <v>270</v>
      </c>
      <c r="F14" s="73"/>
    </row>
    <row r="15" spans="1:6">
      <c r="A15" s="1">
        <v>11</v>
      </c>
      <c r="B15" s="1" t="s">
        <v>283</v>
      </c>
      <c r="C15" s="1">
        <v>50000</v>
      </c>
      <c r="D15" s="1" t="s">
        <v>196</v>
      </c>
      <c r="E15" s="1" t="s">
        <v>270</v>
      </c>
      <c r="F15" s="73"/>
    </row>
    <row r="16" spans="1:6">
      <c r="A16" s="1">
        <v>12</v>
      </c>
      <c r="B16" s="1" t="s">
        <v>284</v>
      </c>
      <c r="C16" s="1">
        <v>2000</v>
      </c>
      <c r="D16" s="1"/>
      <c r="E16" s="1" t="s">
        <v>270</v>
      </c>
      <c r="F16" s="1" t="s">
        <v>29</v>
      </c>
    </row>
    <row r="17" spans="1:6">
      <c r="A17" s="1">
        <v>13</v>
      </c>
      <c r="B17" s="1" t="s">
        <v>285</v>
      </c>
      <c r="C17" s="1">
        <v>2250</v>
      </c>
      <c r="D17" s="1"/>
      <c r="E17" s="1" t="s">
        <v>270</v>
      </c>
      <c r="F17" s="1" t="s">
        <v>29</v>
      </c>
    </row>
    <row r="18" spans="1:6">
      <c r="A18" s="1">
        <v>14</v>
      </c>
      <c r="B18" s="1" t="s">
        <v>286</v>
      </c>
      <c r="C18" s="1">
        <v>1500</v>
      </c>
      <c r="D18" s="1"/>
      <c r="E18" s="1" t="s">
        <v>287</v>
      </c>
      <c r="F18" s="1" t="s">
        <v>29</v>
      </c>
    </row>
    <row r="19" spans="1:6">
      <c r="A19" s="1">
        <v>14</v>
      </c>
      <c r="B19" s="1" t="s">
        <v>288</v>
      </c>
      <c r="C19" s="1">
        <v>2000</v>
      </c>
      <c r="D19" s="1"/>
      <c r="E19" s="1" t="s">
        <v>287</v>
      </c>
      <c r="F19" s="1" t="s">
        <v>29</v>
      </c>
    </row>
    <row r="20" spans="1:6">
      <c r="A20" s="2">
        <v>15</v>
      </c>
      <c r="B20" s="2" t="s">
        <v>289</v>
      </c>
      <c r="C20" s="2">
        <v>1500</v>
      </c>
      <c r="D20" s="2"/>
      <c r="E20" s="2" t="s">
        <v>270</v>
      </c>
      <c r="F20" s="2" t="s">
        <v>29</v>
      </c>
    </row>
    <row r="21" spans="1:6">
      <c r="A21" s="2">
        <v>16</v>
      </c>
      <c r="B21" s="2" t="s">
        <v>290</v>
      </c>
      <c r="C21" s="2">
        <v>275000</v>
      </c>
      <c r="D21" s="2"/>
      <c r="E21" s="2" t="s">
        <v>291</v>
      </c>
      <c r="F21" s="2" t="s">
        <v>292</v>
      </c>
    </row>
    <row r="22" spans="1:6">
      <c r="A22" s="1">
        <v>17</v>
      </c>
      <c r="B22" s="1" t="s">
        <v>293</v>
      </c>
      <c r="C22" s="1">
        <v>18000</v>
      </c>
      <c r="D22" s="1"/>
      <c r="E22" s="1" t="s">
        <v>270</v>
      </c>
      <c r="F22" s="1" t="s">
        <v>294</v>
      </c>
    </row>
    <row r="23" spans="1:6">
      <c r="C23">
        <f>SUM(C5:C22)</f>
        <v>523300</v>
      </c>
    </row>
  </sheetData>
  <mergeCells count="4">
    <mergeCell ref="F5:F9"/>
    <mergeCell ref="A1:F1"/>
    <mergeCell ref="A2:F2"/>
    <mergeCell ref="F12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AA2B-BDAD-4ECB-93B8-0001CA7EADE4}">
  <sheetPr>
    <pageSetUpPr fitToPage="1"/>
  </sheetPr>
  <dimension ref="A1:F39"/>
  <sheetViews>
    <sheetView topLeftCell="H11" workbookViewId="0">
      <selection activeCell="H11" sqref="H11"/>
    </sheetView>
  </sheetViews>
  <sheetFormatPr defaultRowHeight="12.75"/>
  <cols>
    <col min="2" max="2" width="29.5703125" customWidth="1"/>
    <col min="3" max="3" width="16.42578125" bestFit="1" customWidth="1"/>
    <col min="5" max="5" width="8.7109375" bestFit="1" customWidth="1"/>
  </cols>
  <sheetData>
    <row r="1" spans="1:6" ht="15">
      <c r="A1" s="74" t="s">
        <v>295</v>
      </c>
      <c r="B1" s="74"/>
      <c r="C1" s="74"/>
      <c r="D1" s="74"/>
      <c r="E1" s="74"/>
      <c r="F1" s="74"/>
    </row>
    <row r="2" spans="1:6">
      <c r="A2" s="18" t="s">
        <v>189</v>
      </c>
      <c r="B2" s="18" t="s">
        <v>296</v>
      </c>
      <c r="C2" s="18" t="s">
        <v>297</v>
      </c>
      <c r="D2" s="18" t="s">
        <v>5</v>
      </c>
      <c r="E2" s="18" t="s">
        <v>298</v>
      </c>
      <c r="F2" s="18" t="s">
        <v>6</v>
      </c>
    </row>
    <row r="3" spans="1:6">
      <c r="A3" s="1">
        <v>1</v>
      </c>
      <c r="B3" s="1" t="s">
        <v>299</v>
      </c>
      <c r="C3" s="1" t="s">
        <v>300</v>
      </c>
      <c r="D3" s="1">
        <v>30000</v>
      </c>
      <c r="E3" s="1"/>
      <c r="F3" s="1"/>
    </row>
    <row r="4" spans="1:6">
      <c r="A4" s="1">
        <v>2</v>
      </c>
      <c r="B4" s="1" t="s">
        <v>301</v>
      </c>
      <c r="C4" s="1" t="s">
        <v>300</v>
      </c>
      <c r="D4" s="1">
        <v>30000</v>
      </c>
      <c r="E4" s="1">
        <v>30000</v>
      </c>
      <c r="F4" s="1" t="s">
        <v>270</v>
      </c>
    </row>
    <row r="5" spans="1:6">
      <c r="A5" s="1">
        <v>3</v>
      </c>
      <c r="B5" s="1" t="s">
        <v>301</v>
      </c>
      <c r="C5" s="1" t="s">
        <v>300</v>
      </c>
      <c r="D5" s="1">
        <v>30000</v>
      </c>
      <c r="E5" s="1">
        <v>30000</v>
      </c>
      <c r="F5" s="1" t="s">
        <v>270</v>
      </c>
    </row>
    <row r="6" spans="1:6">
      <c r="A6" s="1">
        <v>4</v>
      </c>
      <c r="B6" s="1" t="s">
        <v>301</v>
      </c>
      <c r="C6" s="1" t="s">
        <v>300</v>
      </c>
      <c r="D6" s="1">
        <v>40000</v>
      </c>
      <c r="E6" s="1">
        <v>40000</v>
      </c>
      <c r="F6" s="1" t="s">
        <v>270</v>
      </c>
    </row>
    <row r="7" spans="1:6">
      <c r="A7" s="1">
        <v>5</v>
      </c>
      <c r="B7" s="1" t="s">
        <v>301</v>
      </c>
      <c r="C7" s="1" t="s">
        <v>300</v>
      </c>
      <c r="D7" s="1">
        <v>40000</v>
      </c>
      <c r="E7" s="1">
        <v>40000</v>
      </c>
      <c r="F7" s="1" t="s">
        <v>270</v>
      </c>
    </row>
    <row r="8" spans="1:6">
      <c r="A8" s="1">
        <v>6</v>
      </c>
      <c r="B8" s="1" t="s">
        <v>302</v>
      </c>
      <c r="C8" s="1" t="s">
        <v>300</v>
      </c>
      <c r="D8" s="1">
        <v>30000</v>
      </c>
      <c r="E8" s="1"/>
      <c r="F8" s="1"/>
    </row>
    <row r="9" spans="1:6">
      <c r="A9" s="1">
        <v>7</v>
      </c>
      <c r="B9" s="1" t="s">
        <v>303</v>
      </c>
      <c r="C9" s="1" t="s">
        <v>304</v>
      </c>
      <c r="D9" s="1">
        <v>30000</v>
      </c>
      <c r="E9" s="1"/>
      <c r="F9" s="1"/>
    </row>
    <row r="10" spans="1:6">
      <c r="A10" s="1">
        <v>8</v>
      </c>
      <c r="B10" s="1" t="s">
        <v>305</v>
      </c>
      <c r="C10" s="1" t="s">
        <v>306</v>
      </c>
      <c r="D10" s="1">
        <v>30000</v>
      </c>
      <c r="E10" s="1"/>
      <c r="F10" s="1"/>
    </row>
    <row r="11" spans="1:6">
      <c r="A11" s="1">
        <v>9</v>
      </c>
      <c r="B11" s="1" t="s">
        <v>307</v>
      </c>
      <c r="C11" s="1" t="s">
        <v>308</v>
      </c>
      <c r="D11" s="1">
        <v>30000</v>
      </c>
      <c r="E11" s="1"/>
      <c r="F11" s="1"/>
    </row>
    <row r="12" spans="1:6">
      <c r="A12" s="1">
        <v>10</v>
      </c>
      <c r="B12" s="1" t="s">
        <v>309</v>
      </c>
      <c r="C12" s="1" t="s">
        <v>310</v>
      </c>
      <c r="D12" s="1">
        <v>5000</v>
      </c>
      <c r="E12" s="1"/>
      <c r="F12" s="1"/>
    </row>
    <row r="13" spans="1:6">
      <c r="A13" s="1">
        <v>11</v>
      </c>
      <c r="B13" s="1" t="s">
        <v>311</v>
      </c>
      <c r="C13" s="1" t="s">
        <v>312</v>
      </c>
      <c r="D13" s="1">
        <v>10000</v>
      </c>
      <c r="E13" s="1"/>
      <c r="F13" s="1"/>
    </row>
    <row r="14" spans="1:6">
      <c r="A14" s="1">
        <v>12</v>
      </c>
      <c r="B14" s="1" t="s">
        <v>313</v>
      </c>
      <c r="C14" s="1" t="s">
        <v>314</v>
      </c>
      <c r="D14" s="1">
        <v>10000</v>
      </c>
      <c r="E14" s="1"/>
      <c r="F14" s="1"/>
    </row>
    <row r="15" spans="1:6">
      <c r="A15" s="1">
        <v>13</v>
      </c>
      <c r="B15" s="1" t="s">
        <v>315</v>
      </c>
      <c r="C15" s="1" t="s">
        <v>316</v>
      </c>
      <c r="D15" s="1">
        <v>10000</v>
      </c>
      <c r="E15" s="1"/>
      <c r="F15" s="1"/>
    </row>
    <row r="16" spans="1:6">
      <c r="A16" s="1">
        <v>14</v>
      </c>
      <c r="B16" s="1" t="s">
        <v>317</v>
      </c>
      <c r="C16" s="1" t="s">
        <v>318</v>
      </c>
      <c r="D16" s="1">
        <v>10000</v>
      </c>
      <c r="E16" s="1"/>
      <c r="F16" s="1"/>
    </row>
    <row r="17" spans="1:6">
      <c r="A17" s="1">
        <v>15</v>
      </c>
      <c r="B17" s="1" t="s">
        <v>319</v>
      </c>
      <c r="C17" s="1" t="s">
        <v>320</v>
      </c>
      <c r="D17" s="1">
        <v>20000</v>
      </c>
      <c r="E17" s="1"/>
      <c r="F17" s="1"/>
    </row>
    <row r="18" spans="1:6">
      <c r="A18" s="1">
        <v>16</v>
      </c>
      <c r="B18" s="1" t="s">
        <v>321</v>
      </c>
      <c r="C18" s="1" t="s">
        <v>322</v>
      </c>
      <c r="D18" s="1">
        <v>20000</v>
      </c>
      <c r="E18" s="1">
        <v>20000</v>
      </c>
      <c r="F18" s="1" t="s">
        <v>323</v>
      </c>
    </row>
    <row r="19" spans="1:6">
      <c r="A19" s="1">
        <v>17</v>
      </c>
      <c r="B19" s="1" t="s">
        <v>324</v>
      </c>
      <c r="C19" s="1" t="s">
        <v>322</v>
      </c>
      <c r="D19" s="1">
        <v>10000</v>
      </c>
      <c r="E19" s="1"/>
      <c r="F19" s="1"/>
    </row>
    <row r="20" spans="1:6">
      <c r="A20" s="1">
        <v>18</v>
      </c>
      <c r="B20" s="1" t="s">
        <v>325</v>
      </c>
      <c r="C20" s="1" t="s">
        <v>322</v>
      </c>
      <c r="D20" s="1">
        <v>40000</v>
      </c>
      <c r="E20" s="1"/>
      <c r="F20" s="1"/>
    </row>
    <row r="21" spans="1:6">
      <c r="A21" s="1">
        <v>19</v>
      </c>
      <c r="B21" s="1" t="s">
        <v>326</v>
      </c>
      <c r="C21" s="1" t="s">
        <v>327</v>
      </c>
      <c r="D21" s="1">
        <v>5000</v>
      </c>
      <c r="E21" s="1"/>
      <c r="F21" s="1"/>
    </row>
    <row r="22" spans="1:6">
      <c r="A22" s="1">
        <v>20</v>
      </c>
      <c r="B22" s="1" t="s">
        <v>328</v>
      </c>
      <c r="C22" s="1" t="s">
        <v>327</v>
      </c>
      <c r="D22" s="1">
        <v>10000</v>
      </c>
      <c r="E22" s="1"/>
      <c r="F22" s="1"/>
    </row>
    <row r="23" spans="1:6">
      <c r="A23" s="1">
        <v>21</v>
      </c>
      <c r="B23" s="1" t="s">
        <v>329</v>
      </c>
      <c r="C23" s="1" t="s">
        <v>330</v>
      </c>
      <c r="D23" s="1">
        <v>15000</v>
      </c>
      <c r="E23" s="1"/>
      <c r="F23" s="1"/>
    </row>
    <row r="24" spans="1:6">
      <c r="A24" s="1">
        <v>22</v>
      </c>
      <c r="B24" s="1" t="s">
        <v>331</v>
      </c>
      <c r="C24" s="1" t="s">
        <v>332</v>
      </c>
      <c r="D24" s="1">
        <v>10000</v>
      </c>
      <c r="E24" s="1"/>
      <c r="F24" s="1"/>
    </row>
    <row r="25" spans="1:6">
      <c r="A25" s="1">
        <v>23</v>
      </c>
      <c r="B25" s="1" t="s">
        <v>333</v>
      </c>
      <c r="C25" s="1" t="s">
        <v>334</v>
      </c>
      <c r="D25" s="1">
        <v>5000</v>
      </c>
      <c r="E25" s="1"/>
      <c r="F25" s="1"/>
    </row>
    <row r="26" spans="1:6">
      <c r="A26" s="1">
        <v>24</v>
      </c>
      <c r="B26" s="1" t="s">
        <v>333</v>
      </c>
      <c r="C26" s="1" t="s">
        <v>335</v>
      </c>
      <c r="D26" s="1">
        <v>5000</v>
      </c>
      <c r="E26" s="1"/>
      <c r="F26" s="1"/>
    </row>
    <row r="27" spans="1:6">
      <c r="A27" s="1">
        <v>25</v>
      </c>
      <c r="B27" s="1" t="s">
        <v>336</v>
      </c>
      <c r="C27" s="1" t="s">
        <v>330</v>
      </c>
      <c r="D27" s="1">
        <v>40000</v>
      </c>
      <c r="E27" s="1"/>
      <c r="F27" s="1"/>
    </row>
    <row r="28" spans="1:6">
      <c r="A28" s="1">
        <v>26</v>
      </c>
      <c r="B28" s="1" t="s">
        <v>337</v>
      </c>
      <c r="C28" s="1" t="s">
        <v>327</v>
      </c>
      <c r="D28" s="1">
        <v>10000</v>
      </c>
      <c r="E28" s="1"/>
      <c r="F28" s="1"/>
    </row>
    <row r="29" spans="1:6">
      <c r="A29" s="1">
        <v>27</v>
      </c>
      <c r="B29" s="1" t="s">
        <v>338</v>
      </c>
      <c r="C29" s="1" t="s">
        <v>330</v>
      </c>
      <c r="D29" s="1">
        <v>30000</v>
      </c>
      <c r="E29" s="1"/>
      <c r="F29" s="1"/>
    </row>
    <row r="30" spans="1:6">
      <c r="A30" s="1">
        <v>28</v>
      </c>
      <c r="B30" s="1" t="s">
        <v>339</v>
      </c>
      <c r="C30" s="1" t="s">
        <v>330</v>
      </c>
      <c r="D30" s="1">
        <v>15000</v>
      </c>
      <c r="E30" s="1"/>
      <c r="F30" s="1"/>
    </row>
    <row r="31" spans="1:6">
      <c r="A31" s="1">
        <v>29</v>
      </c>
      <c r="B31" s="1" t="s">
        <v>340</v>
      </c>
      <c r="C31" s="1" t="s">
        <v>341</v>
      </c>
      <c r="D31" s="1">
        <v>10000</v>
      </c>
      <c r="E31" s="1"/>
      <c r="F31" s="1"/>
    </row>
    <row r="32" spans="1:6">
      <c r="A32" s="1">
        <v>30</v>
      </c>
      <c r="B32" s="1" t="s">
        <v>342</v>
      </c>
      <c r="C32" s="1" t="s">
        <v>343</v>
      </c>
      <c r="D32" s="1">
        <v>5000</v>
      </c>
      <c r="E32" s="1"/>
      <c r="F32" s="1"/>
    </row>
    <row r="33" spans="1:6">
      <c r="A33" s="1">
        <v>31</v>
      </c>
      <c r="B33" s="1" t="s">
        <v>344</v>
      </c>
      <c r="C33" s="1" t="s">
        <v>345</v>
      </c>
      <c r="D33" s="1">
        <v>5000</v>
      </c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2"/>
      <c r="E38" s="2"/>
      <c r="F38" s="2"/>
    </row>
    <row r="39" spans="1:6">
      <c r="D39" s="1">
        <f>SUM(D3:D38)</f>
        <v>590000</v>
      </c>
      <c r="E39" s="1">
        <f>SUM(E3:E38)</f>
        <v>160000</v>
      </c>
      <c r="F39" s="1"/>
    </row>
  </sheetData>
  <mergeCells count="1">
    <mergeCell ref="A1:F1"/>
  </mergeCells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0FC-5BD6-4D6D-A5A2-21D228883662}">
  <sheetPr>
    <pageSetUpPr fitToPage="1"/>
  </sheetPr>
  <dimension ref="A1:F51"/>
  <sheetViews>
    <sheetView workbookViewId="0">
      <selection activeCell="F16" sqref="F16"/>
    </sheetView>
  </sheetViews>
  <sheetFormatPr defaultRowHeight="12.75"/>
  <cols>
    <col min="1" max="1" width="24.28515625" bestFit="1" customWidth="1"/>
    <col min="2" max="2" width="11.42578125" bestFit="1" customWidth="1"/>
    <col min="3" max="3" width="20" bestFit="1" customWidth="1"/>
    <col min="4" max="4" width="11.7109375" bestFit="1" customWidth="1"/>
    <col min="5" max="5" width="17.140625" bestFit="1" customWidth="1"/>
  </cols>
  <sheetData>
    <row r="1" spans="1:6" ht="15">
      <c r="A1" s="63" t="s">
        <v>346</v>
      </c>
      <c r="B1" s="63"/>
      <c r="C1" s="63"/>
      <c r="D1" s="63"/>
      <c r="E1" s="63"/>
    </row>
    <row r="2" spans="1:6">
      <c r="A2" s="18" t="s">
        <v>211</v>
      </c>
      <c r="B2" s="18" t="s">
        <v>347</v>
      </c>
      <c r="C2" s="18" t="s">
        <v>348</v>
      </c>
      <c r="D2" s="19" t="s">
        <v>349</v>
      </c>
      <c r="E2" s="25" t="s">
        <v>6</v>
      </c>
      <c r="F2" s="18" t="s">
        <v>7</v>
      </c>
    </row>
    <row r="3" spans="1:6">
      <c r="A3" s="1" t="s">
        <v>350</v>
      </c>
      <c r="B3" s="1"/>
      <c r="C3" s="1" t="s">
        <v>351</v>
      </c>
      <c r="D3" s="3">
        <v>10000</v>
      </c>
      <c r="E3" s="26"/>
      <c r="F3" s="1"/>
    </row>
    <row r="4" spans="1:6">
      <c r="A4" s="1" t="s">
        <v>352</v>
      </c>
      <c r="B4" s="1">
        <v>100</v>
      </c>
      <c r="C4" s="1" t="s">
        <v>353</v>
      </c>
      <c r="D4" s="3"/>
      <c r="E4" t="s">
        <v>354</v>
      </c>
      <c r="F4" s="1" t="s">
        <v>200</v>
      </c>
    </row>
    <row r="5" spans="1:6">
      <c r="A5" s="1" t="s">
        <v>355</v>
      </c>
      <c r="B5" s="1"/>
      <c r="C5" s="1" t="s">
        <v>353</v>
      </c>
      <c r="D5" s="3">
        <v>200</v>
      </c>
      <c r="E5" s="26"/>
      <c r="F5" s="1"/>
    </row>
    <row r="6" spans="1:6">
      <c r="A6" s="1" t="s">
        <v>356</v>
      </c>
      <c r="B6" s="1"/>
      <c r="C6" s="1" t="s">
        <v>353</v>
      </c>
      <c r="D6" s="3">
        <v>200</v>
      </c>
      <c r="E6" s="26"/>
      <c r="F6" s="1"/>
    </row>
    <row r="7" spans="1:6">
      <c r="A7" s="1" t="s">
        <v>357</v>
      </c>
      <c r="B7" s="1"/>
      <c r="C7" s="1" t="s">
        <v>353</v>
      </c>
      <c r="D7" s="3">
        <v>200</v>
      </c>
      <c r="E7" s="26"/>
      <c r="F7" s="1"/>
    </row>
    <row r="8" spans="1:6">
      <c r="A8" t="s">
        <v>358</v>
      </c>
      <c r="B8" s="1">
        <v>25</v>
      </c>
      <c r="C8" t="s">
        <v>359</v>
      </c>
      <c r="D8" s="3"/>
      <c r="E8" t="s">
        <v>201</v>
      </c>
      <c r="F8" s="1" t="s">
        <v>200</v>
      </c>
    </row>
    <row r="9" spans="1:6">
      <c r="A9" t="s">
        <v>360</v>
      </c>
      <c r="B9" s="1">
        <v>35</v>
      </c>
      <c r="C9" t="s">
        <v>359</v>
      </c>
      <c r="D9" s="3"/>
      <c r="E9" t="s">
        <v>201</v>
      </c>
      <c r="F9" s="1" t="s">
        <v>200</v>
      </c>
    </row>
    <row r="10" spans="1:6">
      <c r="A10" t="s">
        <v>361</v>
      </c>
      <c r="B10" s="1">
        <v>100</v>
      </c>
      <c r="C10" t="s">
        <v>359</v>
      </c>
      <c r="D10" s="3"/>
      <c r="E10" t="s">
        <v>354</v>
      </c>
      <c r="F10" s="1" t="s">
        <v>200</v>
      </c>
    </row>
    <row r="11" spans="1:6">
      <c r="A11" t="s">
        <v>362</v>
      </c>
      <c r="B11" s="1"/>
      <c r="C11" t="s">
        <v>363</v>
      </c>
      <c r="D11">
        <v>9000</v>
      </c>
      <c r="E11" s="26"/>
      <c r="F11" s="1"/>
    </row>
    <row r="12" spans="1:6">
      <c r="A12" s="1" t="s">
        <v>364</v>
      </c>
      <c r="B12" s="1"/>
      <c r="C12" s="1" t="s">
        <v>365</v>
      </c>
      <c r="D12" s="3">
        <v>1000</v>
      </c>
      <c r="E12" s="26"/>
      <c r="F12" s="1"/>
    </row>
    <row r="13" spans="1:6">
      <c r="A13" s="1" t="s">
        <v>366</v>
      </c>
      <c r="B13" s="1">
        <v>25</v>
      </c>
      <c r="C13" s="1" t="s">
        <v>367</v>
      </c>
      <c r="D13" s="3"/>
      <c r="E13" s="26" t="s">
        <v>201</v>
      </c>
      <c r="F13" s="1" t="s">
        <v>368</v>
      </c>
    </row>
    <row r="14" spans="1:6">
      <c r="A14" s="1" t="s">
        <v>369</v>
      </c>
      <c r="B14" s="1">
        <v>25</v>
      </c>
      <c r="C14" s="1" t="s">
        <v>359</v>
      </c>
      <c r="D14" s="3"/>
      <c r="E14" s="26" t="s">
        <v>201</v>
      </c>
      <c r="F14" s="1" t="s">
        <v>202</v>
      </c>
    </row>
    <row r="15" spans="1:6">
      <c r="A15" s="1" t="s">
        <v>370</v>
      </c>
      <c r="B15" s="1">
        <v>25</v>
      </c>
      <c r="C15" s="1" t="s">
        <v>359</v>
      </c>
      <c r="D15" s="3"/>
      <c r="E15" s="26" t="s">
        <v>201</v>
      </c>
      <c r="F15" s="1" t="s">
        <v>368</v>
      </c>
    </row>
    <row r="16" spans="1:6">
      <c r="A16" s="1" t="s">
        <v>371</v>
      </c>
      <c r="B16" s="1">
        <v>25</v>
      </c>
      <c r="C16" s="1" t="s">
        <v>359</v>
      </c>
      <c r="D16" s="3"/>
      <c r="E16" s="26" t="s">
        <v>354</v>
      </c>
      <c r="F16" s="1" t="s">
        <v>372</v>
      </c>
    </row>
    <row r="17" spans="1:6">
      <c r="A17" s="1" t="s">
        <v>373</v>
      </c>
      <c r="B17" s="1"/>
      <c r="C17" s="1" t="s">
        <v>359</v>
      </c>
      <c r="D17" s="3">
        <v>3000</v>
      </c>
      <c r="E17" s="26"/>
      <c r="F17" s="1"/>
    </row>
    <row r="18" spans="1:6">
      <c r="A18" s="1"/>
      <c r="B18" s="1"/>
      <c r="C18" s="1"/>
      <c r="D18" s="3"/>
      <c r="E18" s="26"/>
      <c r="F18" s="1"/>
    </row>
    <row r="19" spans="1:6">
      <c r="A19" s="1"/>
      <c r="B19" s="1"/>
      <c r="C19" s="1"/>
      <c r="D19" s="3"/>
      <c r="E19" s="26"/>
      <c r="F19" s="1"/>
    </row>
    <row r="20" spans="1:6">
      <c r="A20" s="1"/>
      <c r="B20" s="1"/>
      <c r="C20" s="1"/>
      <c r="D20" s="3"/>
      <c r="E20" s="26"/>
      <c r="F20" s="1"/>
    </row>
    <row r="21" spans="1:6">
      <c r="A21" s="1"/>
      <c r="B21" s="1"/>
      <c r="C21" s="1"/>
      <c r="D21" s="3"/>
      <c r="E21" s="26"/>
      <c r="F21" s="1"/>
    </row>
    <row r="22" spans="1:6">
      <c r="A22" s="1"/>
      <c r="B22" s="1"/>
      <c r="C22" s="1"/>
      <c r="D22" s="3"/>
      <c r="E22" s="26"/>
      <c r="F22" s="1"/>
    </row>
    <row r="23" spans="1:6">
      <c r="A23" s="1"/>
      <c r="B23" s="1"/>
      <c r="C23" s="1"/>
      <c r="D23" s="3"/>
      <c r="E23" s="26"/>
      <c r="F23" s="1"/>
    </row>
    <row r="24" spans="1:6">
      <c r="A24" s="1"/>
      <c r="B24" s="1"/>
      <c r="C24" s="1"/>
      <c r="D24" s="3"/>
      <c r="E24" s="26"/>
      <c r="F24" s="1"/>
    </row>
    <row r="25" spans="1:6">
      <c r="A25" s="1"/>
      <c r="B25" s="1"/>
      <c r="C25" s="1"/>
      <c r="D25" s="3"/>
      <c r="E25" s="26"/>
      <c r="F25" s="1"/>
    </row>
    <row r="26" spans="1:6">
      <c r="A26" s="1"/>
      <c r="B26" s="1"/>
      <c r="C26" s="1"/>
      <c r="D26" s="3"/>
      <c r="E26" s="26"/>
      <c r="F26" s="1"/>
    </row>
    <row r="27" spans="1:6">
      <c r="A27" s="1"/>
      <c r="B27" s="1"/>
      <c r="C27" s="1"/>
      <c r="D27" s="3"/>
      <c r="E27" s="26"/>
      <c r="F27" s="1"/>
    </row>
    <row r="28" spans="1:6">
      <c r="A28" s="1"/>
      <c r="B28" s="1"/>
      <c r="C28" s="1"/>
      <c r="D28" s="3"/>
      <c r="E28" s="26"/>
      <c r="F28" s="1"/>
    </row>
    <row r="29" spans="1:6">
      <c r="A29" s="1"/>
      <c r="B29" s="1"/>
      <c r="C29" s="1"/>
      <c r="D29" s="3"/>
      <c r="E29" s="26"/>
      <c r="F29" s="1"/>
    </row>
    <row r="30" spans="1:6">
      <c r="A30" s="1"/>
      <c r="B30" s="1"/>
      <c r="C30" s="1"/>
      <c r="D30" s="3"/>
      <c r="E30" s="26"/>
      <c r="F30" s="1"/>
    </row>
    <row r="31" spans="1:6">
      <c r="A31" s="1"/>
      <c r="B31" s="1"/>
      <c r="C31" s="1"/>
      <c r="D31" s="3"/>
      <c r="E31" s="26"/>
      <c r="F31" s="1"/>
    </row>
    <row r="32" spans="1:6">
      <c r="A32" s="1"/>
      <c r="B32" s="1"/>
      <c r="C32" s="1"/>
      <c r="D32" s="3"/>
      <c r="E32" s="26"/>
      <c r="F32" s="1"/>
    </row>
    <row r="33" spans="1:6">
      <c r="A33" s="1"/>
      <c r="B33" s="1"/>
      <c r="C33" s="1"/>
      <c r="D33" s="3"/>
      <c r="E33" s="26"/>
      <c r="F33" s="1"/>
    </row>
    <row r="34" spans="1:6">
      <c r="A34" s="1"/>
      <c r="B34" s="1"/>
      <c r="C34" s="1"/>
      <c r="D34" s="3"/>
      <c r="E34" s="26"/>
      <c r="F34" s="1"/>
    </row>
    <row r="35" spans="1:6">
      <c r="A35" s="1"/>
      <c r="B35" s="1"/>
      <c r="C35" s="1"/>
      <c r="D35" s="3"/>
      <c r="E35" s="26"/>
      <c r="F35" s="1"/>
    </row>
    <row r="36" spans="1:6">
      <c r="A36" s="1"/>
      <c r="B36" s="1"/>
      <c r="C36" s="1"/>
      <c r="D36" s="3"/>
      <c r="E36" s="26"/>
      <c r="F36" s="1"/>
    </row>
    <row r="37" spans="1:6">
      <c r="A37" s="1"/>
      <c r="B37" s="1"/>
      <c r="C37" s="1"/>
      <c r="D37" s="3"/>
      <c r="E37" s="26"/>
      <c r="F37" s="1"/>
    </row>
    <row r="38" spans="1:6">
      <c r="A38" s="1"/>
      <c r="B38" s="1"/>
      <c r="C38" s="1"/>
      <c r="D38" s="3"/>
      <c r="E38" s="26"/>
      <c r="F38" s="1"/>
    </row>
    <row r="39" spans="1:6">
      <c r="A39" s="1"/>
      <c r="B39" s="1"/>
      <c r="C39" s="1"/>
      <c r="D39" s="3"/>
      <c r="E39" s="26"/>
      <c r="F39" s="1"/>
    </row>
    <row r="40" spans="1:6">
      <c r="A40" s="1"/>
      <c r="B40" s="1"/>
      <c r="C40" s="1"/>
      <c r="D40" s="3"/>
      <c r="E40" s="26"/>
      <c r="F40" s="1"/>
    </row>
    <row r="41" spans="1:6">
      <c r="A41" s="1"/>
      <c r="B41" s="1"/>
      <c r="C41" s="1"/>
      <c r="D41" s="3"/>
      <c r="E41" s="26"/>
      <c r="F41" s="1"/>
    </row>
    <row r="42" spans="1:6">
      <c r="A42" s="1"/>
      <c r="B42" s="1"/>
      <c r="C42" s="1"/>
      <c r="D42" s="3"/>
      <c r="E42" s="26"/>
      <c r="F42" s="1"/>
    </row>
    <row r="43" spans="1:6">
      <c r="A43" s="1"/>
      <c r="B43" s="1"/>
      <c r="C43" s="1"/>
      <c r="D43" s="3"/>
      <c r="E43" s="26"/>
      <c r="F43" s="1"/>
    </row>
    <row r="44" spans="1:6">
      <c r="A44" s="1"/>
      <c r="B44" s="1"/>
      <c r="C44" s="1"/>
      <c r="D44" s="3"/>
      <c r="E44" s="26"/>
      <c r="F44" s="1"/>
    </row>
    <row r="45" spans="1:6">
      <c r="A45" s="1"/>
      <c r="B45" s="1"/>
      <c r="C45" s="1"/>
      <c r="D45" s="3"/>
      <c r="E45" s="26"/>
      <c r="F45" s="1"/>
    </row>
    <row r="46" spans="1:6">
      <c r="A46" s="1"/>
      <c r="B46" s="1"/>
      <c r="C46" s="1"/>
      <c r="D46" s="3"/>
      <c r="E46" s="26"/>
      <c r="F46" s="1"/>
    </row>
    <row r="47" spans="1:6">
      <c r="A47" s="1"/>
      <c r="B47" s="1"/>
      <c r="C47" s="1"/>
      <c r="D47" s="3"/>
      <c r="E47" s="26"/>
      <c r="F47" s="1"/>
    </row>
    <row r="48" spans="1:6">
      <c r="A48" s="1"/>
      <c r="B48" s="1"/>
      <c r="C48" s="1"/>
      <c r="D48" s="3"/>
      <c r="E48" s="26"/>
      <c r="F48" s="1"/>
    </row>
    <row r="49" spans="1:6">
      <c r="A49" s="1"/>
      <c r="B49" s="1"/>
      <c r="C49" s="1"/>
      <c r="D49" s="3"/>
      <c r="E49" s="26"/>
      <c r="F49" s="1"/>
    </row>
    <row r="50" spans="1:6">
      <c r="A50" s="1"/>
      <c r="B50" s="1"/>
      <c r="C50" s="1"/>
      <c r="D50" s="3"/>
      <c r="E50" s="26"/>
      <c r="F50" s="1"/>
    </row>
    <row r="51" spans="1:6">
      <c r="A51" s="1"/>
      <c r="B51" s="5">
        <f>SUM(B3:B50)</f>
        <v>360</v>
      </c>
      <c r="C51" s="1"/>
      <c r="D51" s="17">
        <f>SUM(D3:D50)</f>
        <v>23600</v>
      </c>
      <c r="E51" s="26"/>
      <c r="F51" s="1"/>
    </row>
  </sheetData>
  <mergeCells count="1">
    <mergeCell ref="A1:E1"/>
  </mergeCells>
  <pageMargins left="0.7" right="0.7" top="0.75" bottom="0.75" header="0.3" footer="0.3"/>
  <pageSetup paperSize="9" scale="9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FC2B-F27B-AF44-905C-55C2EC3CD945}">
  <dimension ref="A1:D51"/>
  <sheetViews>
    <sheetView topLeftCell="A36" zoomScaleNormal="60" zoomScaleSheetLayoutView="100" workbookViewId="0">
      <selection activeCell="J57" sqref="J57"/>
    </sheetView>
  </sheetViews>
  <sheetFormatPr defaultRowHeight="12.75"/>
  <cols>
    <col min="1" max="1" width="12.5703125" bestFit="1" customWidth="1"/>
  </cols>
  <sheetData>
    <row r="1" spans="1:4" ht="15">
      <c r="B1" s="63" t="s">
        <v>374</v>
      </c>
      <c r="C1" s="63"/>
    </row>
    <row r="2" spans="1:4">
      <c r="A2" s="6" t="s">
        <v>7</v>
      </c>
      <c r="B2" s="6" t="s">
        <v>375</v>
      </c>
      <c r="C2" s="6" t="s">
        <v>194</v>
      </c>
      <c r="D2" s="6" t="s">
        <v>207</v>
      </c>
    </row>
    <row r="3" spans="1:4">
      <c r="A3" s="6" t="s">
        <v>376</v>
      </c>
      <c r="B3" s="6">
        <f>D3-C3</f>
        <v>9600</v>
      </c>
      <c r="C3" s="6">
        <v>6208</v>
      </c>
      <c r="D3" s="6">
        <v>15808</v>
      </c>
    </row>
    <row r="4" spans="1:4">
      <c r="A4" s="6"/>
      <c r="B4" s="6"/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  <row r="30" spans="1:4">
      <c r="A30" s="6"/>
      <c r="B30" s="6"/>
      <c r="C30" s="6"/>
      <c r="D30" s="6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A37" s="6"/>
      <c r="B37" s="6"/>
      <c r="C37" s="6"/>
      <c r="D37" s="6"/>
    </row>
    <row r="38" spans="1:4">
      <c r="A38" s="6"/>
      <c r="B38" s="6"/>
      <c r="C38" s="6"/>
      <c r="D38" s="6"/>
    </row>
    <row r="39" spans="1:4">
      <c r="A39" s="15"/>
      <c r="B39" s="15"/>
      <c r="C39" s="15"/>
      <c r="D39" s="15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6"/>
      <c r="B45" s="6"/>
      <c r="C45" s="6"/>
      <c r="D45" s="6"/>
    </row>
    <row r="46" spans="1:4">
      <c r="A46" s="6"/>
      <c r="B46" s="6"/>
      <c r="C46" s="6"/>
      <c r="D46" s="6"/>
    </row>
    <row r="47" spans="1:4">
      <c r="A47" s="6"/>
      <c r="B47" s="6"/>
      <c r="C47" s="6"/>
      <c r="D47" s="6"/>
    </row>
    <row r="48" spans="1:4">
      <c r="A48" s="6"/>
      <c r="B48" s="6"/>
      <c r="C48" s="6"/>
      <c r="D48" s="6"/>
    </row>
    <row r="49" spans="1:4">
      <c r="A49" s="6"/>
      <c r="B49" s="6"/>
      <c r="C49" s="6"/>
      <c r="D49" s="6"/>
    </row>
    <row r="50" spans="1:4" ht="13.5" thickBot="1">
      <c r="A50" s="6"/>
      <c r="B50" s="6"/>
      <c r="C50" s="6"/>
      <c r="D50" s="15"/>
    </row>
    <row r="51" spans="1:4" ht="13.5" thickBot="1">
      <c r="D51" s="16">
        <f>SUM(D3:D50)</f>
        <v>15808</v>
      </c>
    </row>
  </sheetData>
  <mergeCells count="1">
    <mergeCell ref="B1:C1"/>
  </mergeCells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2906-5905-4FBD-BBF2-B470462AFA47}">
  <sheetPr>
    <pageSetUpPr fitToPage="1"/>
  </sheetPr>
  <dimension ref="A1:D36"/>
  <sheetViews>
    <sheetView workbookViewId="0">
      <selection activeCell="C46" sqref="C46"/>
    </sheetView>
  </sheetViews>
  <sheetFormatPr defaultRowHeight="12.75"/>
  <cols>
    <col min="1" max="1" width="32.7109375" bestFit="1" customWidth="1"/>
    <col min="2" max="2" width="17.42578125" customWidth="1"/>
    <col min="3" max="3" width="15.5703125" customWidth="1"/>
    <col min="4" max="4" width="22.7109375" customWidth="1"/>
  </cols>
  <sheetData>
    <row r="1" spans="1:4" ht="15.75">
      <c r="A1" s="75" t="s">
        <v>377</v>
      </c>
      <c r="B1" s="76"/>
      <c r="C1" s="76"/>
      <c r="D1" s="76"/>
    </row>
    <row r="2" spans="1:4">
      <c r="A2" s="18" t="s">
        <v>211</v>
      </c>
      <c r="B2" s="18" t="s">
        <v>349</v>
      </c>
      <c r="C2" s="18" t="s">
        <v>298</v>
      </c>
      <c r="D2" s="18" t="s">
        <v>6</v>
      </c>
    </row>
    <row r="3" spans="1:4">
      <c r="A3" s="1" t="s">
        <v>364</v>
      </c>
      <c r="B3" s="1">
        <v>100000</v>
      </c>
      <c r="C3" s="1">
        <v>100000</v>
      </c>
      <c r="D3" s="1" t="s">
        <v>194</v>
      </c>
    </row>
    <row r="4" spans="1:4">
      <c r="A4" s="1" t="s">
        <v>370</v>
      </c>
      <c r="B4" s="1">
        <v>20000</v>
      </c>
      <c r="C4" s="1"/>
      <c r="D4" s="1"/>
    </row>
    <row r="5" spans="1:4">
      <c r="A5" s="1" t="s">
        <v>378</v>
      </c>
      <c r="B5" s="1">
        <v>15000</v>
      </c>
      <c r="C5" s="1">
        <v>15000</v>
      </c>
      <c r="D5" s="1" t="s">
        <v>194</v>
      </c>
    </row>
    <row r="6" spans="1:4">
      <c r="A6" s="1" t="s">
        <v>379</v>
      </c>
      <c r="B6" s="1">
        <v>15000</v>
      </c>
      <c r="C6" s="1"/>
      <c r="D6" s="1"/>
    </row>
    <row r="7" spans="1:4">
      <c r="A7" s="1" t="s">
        <v>380</v>
      </c>
      <c r="B7" s="1">
        <v>15000</v>
      </c>
      <c r="C7" s="1">
        <v>15000</v>
      </c>
      <c r="D7" s="1" t="s">
        <v>194</v>
      </c>
    </row>
    <row r="8" spans="1:4">
      <c r="A8" s="1" t="s">
        <v>381</v>
      </c>
      <c r="B8" s="1">
        <v>15000</v>
      </c>
      <c r="C8" s="1">
        <v>15000</v>
      </c>
      <c r="D8" s="1" t="s">
        <v>194</v>
      </c>
    </row>
    <row r="9" spans="1:4">
      <c r="A9" s="1" t="s">
        <v>382</v>
      </c>
      <c r="B9" s="1">
        <v>10000</v>
      </c>
      <c r="C9" s="1">
        <v>10000</v>
      </c>
      <c r="D9" s="1"/>
    </row>
    <row r="10" spans="1:4">
      <c r="A10" s="1" t="s">
        <v>383</v>
      </c>
      <c r="B10" s="1">
        <v>10000</v>
      </c>
      <c r="C10" s="1"/>
      <c r="D10" s="1"/>
    </row>
    <row r="11" spans="1:4">
      <c r="A11" s="1" t="s">
        <v>384</v>
      </c>
      <c r="B11" s="1">
        <v>10000</v>
      </c>
      <c r="C11" s="1">
        <v>10000</v>
      </c>
      <c r="D11" s="1" t="s">
        <v>194</v>
      </c>
    </row>
    <row r="12" spans="1:4">
      <c r="A12" s="1" t="s">
        <v>385</v>
      </c>
      <c r="B12" s="1">
        <v>10000</v>
      </c>
      <c r="C12" s="1">
        <v>10000</v>
      </c>
      <c r="D12" s="1" t="s">
        <v>194</v>
      </c>
    </row>
    <row r="13" spans="1:4">
      <c r="A13" s="1" t="s">
        <v>386</v>
      </c>
      <c r="B13" s="1">
        <v>5000</v>
      </c>
      <c r="C13" s="1">
        <v>5000</v>
      </c>
      <c r="D13" s="1" t="s">
        <v>201</v>
      </c>
    </row>
    <row r="14" spans="1:4">
      <c r="A14" s="1" t="s">
        <v>387</v>
      </c>
      <c r="B14" s="1">
        <v>5000</v>
      </c>
      <c r="C14" s="1">
        <v>5000</v>
      </c>
      <c r="D14" s="1" t="s">
        <v>194</v>
      </c>
    </row>
    <row r="15" spans="1:4">
      <c r="A15" s="1" t="s">
        <v>388</v>
      </c>
      <c r="B15" s="1">
        <v>5000</v>
      </c>
      <c r="C15" s="1"/>
      <c r="D15" s="1"/>
    </row>
    <row r="16" spans="1:4">
      <c r="A16" s="1" t="s">
        <v>389</v>
      </c>
      <c r="B16" s="1">
        <v>5000</v>
      </c>
      <c r="C16" s="1">
        <v>5000</v>
      </c>
      <c r="D16" s="1" t="s">
        <v>194</v>
      </c>
    </row>
    <row r="17" spans="1:4">
      <c r="A17" s="1" t="s">
        <v>390</v>
      </c>
      <c r="B17" s="1">
        <v>5000</v>
      </c>
      <c r="C17" s="1"/>
      <c r="D17" s="1"/>
    </row>
    <row r="18" spans="1:4">
      <c r="A18" s="1" t="s">
        <v>391</v>
      </c>
      <c r="B18" s="1">
        <v>5000</v>
      </c>
      <c r="C18" s="1"/>
      <c r="D18" s="1"/>
    </row>
    <row r="19" spans="1:4">
      <c r="A19" s="1" t="s">
        <v>392</v>
      </c>
      <c r="B19" s="1">
        <v>5000</v>
      </c>
      <c r="C19" s="1"/>
      <c r="D19" s="1"/>
    </row>
    <row r="20" spans="1:4">
      <c r="A20" s="1" t="s">
        <v>393</v>
      </c>
      <c r="B20" s="1">
        <v>5000</v>
      </c>
      <c r="C20" s="1">
        <v>5000</v>
      </c>
      <c r="D20" s="1" t="s">
        <v>194</v>
      </c>
    </row>
    <row r="21" spans="1:4">
      <c r="A21" s="1" t="s">
        <v>394</v>
      </c>
      <c r="B21" s="1">
        <v>3000</v>
      </c>
      <c r="C21" s="1">
        <v>3000</v>
      </c>
      <c r="D21" s="1" t="s">
        <v>194</v>
      </c>
    </row>
    <row r="22" spans="1:4">
      <c r="A22" s="1" t="s">
        <v>358</v>
      </c>
      <c r="B22" s="1">
        <v>2500</v>
      </c>
      <c r="C22" s="1"/>
      <c r="D22" s="1"/>
    </row>
    <row r="23" spans="1:4" ht="15.75" thickBot="1">
      <c r="A23" s="29"/>
      <c r="B23" s="30">
        <f>SUM(B3:B22)</f>
        <v>265500</v>
      </c>
      <c r="C23" s="30">
        <f>SUM(C3:C22)</f>
        <v>198000</v>
      </c>
      <c r="D23" s="31"/>
    </row>
    <row r="29" spans="1:4">
      <c r="A29" s="77" t="s">
        <v>395</v>
      </c>
      <c r="B29" s="77"/>
      <c r="C29" s="77"/>
    </row>
    <row r="30" spans="1:4">
      <c r="A30" s="1" t="s">
        <v>396</v>
      </c>
      <c r="B30" s="1"/>
      <c r="C30" s="1">
        <v>79000</v>
      </c>
    </row>
    <row r="31" spans="1:4">
      <c r="A31" s="1"/>
      <c r="B31" s="1"/>
      <c r="C31" s="1"/>
    </row>
    <row r="32" spans="1:4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C36">
        <f>SUM(C30:C35)</f>
        <v>79000</v>
      </c>
    </row>
  </sheetData>
  <mergeCells count="2">
    <mergeCell ref="A1:D1"/>
    <mergeCell ref="A29:C29"/>
  </mergeCells>
  <pageMargins left="0.7" right="0.7" top="0.75" bottom="0.75" header="0.3" footer="0.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C8EC-FD4E-A94B-A8CB-8C346A227870}">
  <dimension ref="A1:D36"/>
  <sheetViews>
    <sheetView zoomScaleNormal="60" zoomScaleSheetLayoutView="100" workbookViewId="0">
      <selection activeCell="F10" sqref="F10"/>
    </sheetView>
  </sheetViews>
  <sheetFormatPr defaultRowHeight="12.75"/>
  <cols>
    <col min="1" max="1" width="3.42578125" bestFit="1" customWidth="1"/>
    <col min="2" max="2" width="11" bestFit="1" customWidth="1"/>
  </cols>
  <sheetData>
    <row r="1" spans="1:4">
      <c r="A1" s="78" t="s">
        <v>397</v>
      </c>
      <c r="B1" s="78"/>
      <c r="C1" s="78"/>
      <c r="D1" s="78"/>
    </row>
    <row r="2" spans="1:4">
      <c r="A2" s="23" t="s">
        <v>189</v>
      </c>
      <c r="B2" s="23" t="s">
        <v>4</v>
      </c>
      <c r="C2" s="23" t="s">
        <v>2</v>
      </c>
      <c r="D2" s="20" t="s">
        <v>6</v>
      </c>
    </row>
    <row r="3" spans="1:4">
      <c r="A3" s="6">
        <v>1</v>
      </c>
      <c r="B3" t="s">
        <v>398</v>
      </c>
      <c r="C3" s="6"/>
      <c r="D3" s="6"/>
    </row>
    <row r="4" spans="1:4">
      <c r="A4" s="6">
        <v>2</v>
      </c>
      <c r="B4" t="s">
        <v>399</v>
      </c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  <row r="30" spans="1:4">
      <c r="A30" s="6"/>
      <c r="B30" s="6"/>
      <c r="C30" s="6"/>
      <c r="D30" s="6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3097-D07F-4E07-95F0-DAEC22E493E5}">
  <dimension ref="A1:E51"/>
  <sheetViews>
    <sheetView workbookViewId="0">
      <selection activeCell="B15" sqref="B15"/>
    </sheetView>
  </sheetViews>
  <sheetFormatPr defaultRowHeight="12.75"/>
  <cols>
    <col min="1" max="1" width="44.140625" bestFit="1" customWidth="1"/>
    <col min="2" max="2" width="25" customWidth="1"/>
    <col min="3" max="3" width="16.42578125" customWidth="1"/>
    <col min="4" max="4" width="15" customWidth="1"/>
    <col min="5" max="5" width="21.85546875" customWidth="1"/>
  </cols>
  <sheetData>
    <row r="1" spans="1:5" ht="15">
      <c r="A1" s="74" t="s">
        <v>400</v>
      </c>
      <c r="B1" s="74"/>
      <c r="C1" s="74"/>
      <c r="D1" s="74"/>
      <c r="E1" s="74"/>
    </row>
    <row r="2" spans="1:5">
      <c r="A2" s="18" t="s">
        <v>401</v>
      </c>
      <c r="B2" s="18" t="s">
        <v>211</v>
      </c>
      <c r="C2" s="18" t="s">
        <v>349</v>
      </c>
      <c r="D2" s="18" t="s">
        <v>298</v>
      </c>
      <c r="E2" s="18" t="s">
        <v>6</v>
      </c>
    </row>
    <row r="3" spans="1:5">
      <c r="A3" s="1" t="s">
        <v>402</v>
      </c>
      <c r="B3" s="1" t="s">
        <v>364</v>
      </c>
      <c r="C3" s="1"/>
      <c r="D3" s="1"/>
      <c r="E3" s="1"/>
    </row>
    <row r="4" spans="1:5">
      <c r="A4" s="1" t="s">
        <v>403</v>
      </c>
      <c r="B4" s="1" t="s">
        <v>364</v>
      </c>
      <c r="C4" s="1"/>
      <c r="D4" s="1"/>
      <c r="E4" s="1"/>
    </row>
    <row r="5" spans="1:5">
      <c r="A5" s="1" t="s">
        <v>404</v>
      </c>
      <c r="B5" s="1" t="s">
        <v>364</v>
      </c>
      <c r="C5" s="1">
        <v>35000</v>
      </c>
      <c r="D5" s="1">
        <v>35000</v>
      </c>
      <c r="E5" s="1" t="s">
        <v>405</v>
      </c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</sheetData>
  <mergeCells count="1">
    <mergeCell ref="A1:E1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ECBD64241EF4284312770A090E366" ma:contentTypeVersion="10" ma:contentTypeDescription="Create a new document." ma:contentTypeScope="" ma:versionID="071cc33b3a2892bebf536653a2ae934f">
  <xsd:schema xmlns:xsd="http://www.w3.org/2001/XMLSchema" xmlns:xs="http://www.w3.org/2001/XMLSchema" xmlns:p="http://schemas.microsoft.com/office/2006/metadata/properties" xmlns:ns3="35cfee03-8058-429a-abe2-2957be2178ad" targetNamespace="http://schemas.microsoft.com/office/2006/metadata/properties" ma:root="true" ma:fieldsID="dd9077f827f97e97cf73498e3086424b" ns3:_="">
    <xsd:import namespace="35cfee03-8058-429a-abe2-2957be2178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fee03-8058-429a-abe2-2957be217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cfee03-8058-429a-abe2-2957be2178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817A4-2805-4AA4-A7A2-DD88CDDC0172}"/>
</file>

<file path=customXml/itemProps2.xml><?xml version="1.0" encoding="utf-8"?>
<ds:datastoreItem xmlns:ds="http://schemas.openxmlformats.org/officeDocument/2006/customXml" ds:itemID="{2015CAE4-66F3-490F-95A7-1B113BD23D8E}"/>
</file>

<file path=customXml/itemProps3.xml><?xml version="1.0" encoding="utf-8"?>
<ds:datastoreItem xmlns:ds="http://schemas.openxmlformats.org/officeDocument/2006/customXml" ds:itemID="{6E74B2A2-E3CE-4EF5-A119-0671EA17D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Manoj Paudel</cp:lastModifiedBy>
  <cp:revision/>
  <dcterms:created xsi:type="dcterms:W3CDTF">2025-06-30T05:02:40Z</dcterms:created>
  <dcterms:modified xsi:type="dcterms:W3CDTF">2025-08-20T07:53:56Z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2025-07-30T09:53:00Z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051a06d5-1942-4a7f-8f79-28fb534f4a8e</vt:lpwstr>
  </property>
  <property fmtid="{D5CDD505-2E9C-101B-9397-08002B2CF9AE}" pid="7" name="MSIP_Label_defa4170-0d19-0005-0004-bc88714345d2_ActionId">
    <vt:lpwstr>4afa0170-a5dc-4216-92e1-9c0801547704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0x0101009EBECBD64241EF4284312770A090E366</vt:lpwstr>
  </property>
</Properties>
</file>